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Team" sheetId="2" state="visible" r:id="rId4"/>
    <sheet name="Clarification Q&amp;A" sheetId="3" state="visible" r:id="rId5"/>
    <sheet name="Requirements" sheetId="4" state="visible" r:id="rId6"/>
    <sheet name="Use Cases" sheetId="5" state="visible" r:id="rId7"/>
    <sheet name="Artifact Tracker" sheetId="6" state="visible" r:id="rId8"/>
    <sheet name="Consistency Check" sheetId="7" state="visible" r:id="rId9"/>
    <sheet name="AI Prompt Log" sheetId="8" state="visible" r:id="rId10"/>
    <sheet name="Commit Log" sheetId="9" state="visible" r:id="rId11"/>
    <sheet name="Progress Log" sheetId="10" state="visible" r:id="rId12"/>
    <sheet name="Marking" sheetId="11" state="visible" r:id="rId13"/>
    <sheet name="Summary"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<sst xmlns="http://schemas.openxmlformats.org/spreadsheetml/2006/main" count="1150" uniqueCount="734">
  <si>
    <t xml:space="preserve">SE Lab Assignment 1 Team Workbook</t>
  </si>
  <si>
    <t xml:space="preserve">Smart Ticketing System (TVM)  |  Sem 1_2627  |  One workbook per group, kept in your shared folder and in your GitHub repository</t>
  </si>
  <si>
    <t xml:space="preserve">Purpose</t>
  </si>
  <si>
    <t xml:space="preserve">This workbook is your group's working record for Lab Group Assignment 1. It contains the Clarification Q&amp;A and the requirements (two deliverables you hand in as Excel or Word), plus trackers that show your process: who built what, the diagrams and their status, your Copilot prompts, your commits and your weekly progress. The lecturer reads it during the labs and replies in the green cells. Student self-marking and lecturer marking are on the Marking sheet. It supports, and does not replace, your official submission (the .docx report, readme.txt and the % contribution).</t>
  </si>
  <si>
    <t xml:space="preserve">How to use it</t>
  </si>
  <si>
    <t xml:space="preserve">1. Fill in the Team sheet first (3 to 5 students, % contribution totalling 100%).</t>
  </si>
  <si>
    <t xml:space="preserve">2. Do the Clarification Q&amp;A before you write the requirements. Every assumed answer should lead to a requirement ID.</t>
  </si>
  <si>
    <t xml:space="preserve">3. Update the Artifact Tracker, Commit Log, AI Prompt Log and Progress Log every lab week. These show the process mark evidence.</t>
  </si>
  <si>
    <t xml:space="preserve">4. Before submission, use the Consistency Check sheet, then self-mark on the Marking sheet. The lecturer marks in the green column.</t>
  </si>
  <si>
    <t xml:space="preserve">Colour legend</t>
  </si>
  <si>
    <t xml:space="preserve">Student input</t>
  </si>
  <si>
    <t xml:space="preserve">Yellow fill, blue text</t>
  </si>
  <si>
    <t xml:space="preserve">Lecturer input</t>
  </si>
  <si>
    <t xml:space="preserve">Green fill, blue text</t>
  </si>
  <si>
    <t xml:space="preserve">Calculated / fixed</t>
  </si>
  <si>
    <t xml:space="preserve">Black text, no fill</t>
  </si>
  <si>
    <t xml:space="preserve">Sheets in this workbook</t>
  </si>
  <si>
    <t xml:space="preserve">Sheet</t>
  </si>
  <si>
    <t xml:space="preserve">What it is for</t>
  </si>
  <si>
    <t xml:space="preserve">Report section it feeds</t>
  </si>
  <si>
    <t xml:space="preserve">When to fill in</t>
  </si>
  <si>
    <t xml:space="preserve">Team</t>
  </si>
  <si>
    <t xml:space="preserve">Members, roles, % contribution, commit counts</t>
  </si>
  <si>
    <t xml:space="preserve">1.3, 7</t>
  </si>
  <si>
    <t xml:space="preserve">Week 1</t>
  </si>
  <si>
    <t xml:space="preserve">Clarification Q&amp;A</t>
  </si>
  <si>
    <t xml:space="preserve">Ambiguities, questions and assumed answers (Task 1, 5%)</t>
  </si>
  <si>
    <t xml:space="preserve">2.1</t>
  </si>
  <si>
    <t xml:space="preserve">Before requirements</t>
  </si>
  <si>
    <t xml:space="preserve">Requirements</t>
  </si>
  <si>
    <t xml:space="preserve">Functional, non-functional and domain requirements with measurable metrics (Task 2, 15%)</t>
  </si>
  <si>
    <t xml:space="preserve">2.2</t>
  </si>
  <si>
    <t xml:space="preserve">Phase 1</t>
  </si>
  <si>
    <t xml:space="preserve">Use Cases</t>
  </si>
  <si>
    <t xml:space="preserve">Use case register and description status (Task 3)</t>
  </si>
  <si>
    <t xml:space="preserve">3.1</t>
  </si>
  <si>
    <t xml:space="preserve">Phase 2</t>
  </si>
  <si>
    <t xml:space="preserve">Artifact Tracker</t>
  </si>
  <si>
    <t xml:space="preserve">Every deliverable: owner, tool, link, status, % done</t>
  </si>
  <si>
    <t xml:space="preserve">All</t>
  </si>
  <si>
    <t xml:space="preserve">Throughout</t>
  </si>
  <si>
    <t xml:space="preserve">Consistency Check</t>
  </si>
  <si>
    <t xml:space="preserve">Alignment of the diagrams and the code</t>
  </si>
  <si>
    <t xml:space="preserve">3.4</t>
  </si>
  <si>
    <t xml:space="preserve">Before submitting</t>
  </si>
  <si>
    <t xml:space="preserve">AI Prompt Log</t>
  </si>
  <si>
    <t xml:space="preserve">Copilot prompts, how the AI helped, how you validated (Task 9)</t>
  </si>
  <si>
    <t xml:space="preserve">5.2.2</t>
  </si>
  <si>
    <t xml:space="preserve">Commit Log</t>
  </si>
  <si>
    <t xml:space="preserve">Commits and pull requests per member per week</t>
  </si>
  <si>
    <t xml:space="preserve">5.2.1</t>
  </si>
  <si>
    <t xml:space="preserve">Weekly</t>
  </si>
  <si>
    <t xml:space="preserve">Progress Log</t>
  </si>
  <si>
    <t xml:space="preserve">Weekly plan, actual work, evidence and lecturer feedback</t>
  </si>
  <si>
    <t xml:space="preserve">Process mark</t>
  </si>
  <si>
    <t xml:space="preserve">Marking</t>
  </si>
  <si>
    <t xml:space="preserve">Self-mark and lecturer mark for the 10 tasks (100%)</t>
  </si>
  <si>
    <t xml:space="preserve">–</t>
  </si>
  <si>
    <t xml:space="preserve">End</t>
  </si>
  <si>
    <t xml:space="preserve">Summary</t>
  </si>
  <si>
    <t xml:space="preserve">Group result, QT2 points and individual marks</t>
  </si>
  <si>
    <t xml:space="preserve">Team and Contribution</t>
  </si>
  <si>
    <t xml:space="preserve">Group of 3 to 5 students. The % contribution of each member must total 100% and match your readme.txt.</t>
  </si>
  <si>
    <t xml:space="preserve">Group name</t>
  </si>
  <si>
    <t xml:space="preserve">Group 69</t>
  </si>
  <si>
    <t xml:space="preserve">GitHub repo</t>
  </si>
  <si>
    <t xml:space="preserve">https://github.com/Narwhal1412/SE-QT2</t>
  </si>
  <si>
    <t xml:space="preserve">Group size</t>
  </si>
  <si>
    <t xml:space="preserve">Size check</t>
  </si>
  <si>
    <t xml:space="preserve">Members</t>
  </si>
  <si>
    <t xml:space="preserve">Member</t>
  </si>
  <si>
    <t xml:space="preserve">Name</t>
  </si>
  <si>
    <t xml:space="preserve">Student ID</t>
  </si>
  <si>
    <t xml:space="preserve">Role / main responsibility</t>
  </si>
  <si>
    <t xml:space="preserve">% contribution</t>
  </si>
  <si>
    <t xml:space="preserve">Commits (from Commit Log)</t>
  </si>
  <si>
    <t xml:space="preserve">Check</t>
  </si>
  <si>
    <t xml:space="preserve">Member 1</t>
  </si>
  <si>
    <t xml:space="preserve">Trần Đỗ Quốc Anh</t>
  </si>
  <si>
    <t xml:space="preserve">524H0041</t>
  </si>
  <si>
    <t xml:space="preserve">Requirements Engineering (Q&amp;A, FR/NFR/DR), Use Case Modeling &amp; Descriptions, State Chart Diagram, Test Scenarios</t>
  </si>
  <si>
    <t xml:space="preserve">Member 2</t>
  </si>
  <si>
    <t xml:space="preserve">Nguyễn Gia Huy</t>
  </si>
  <si>
    <t xml:space="preserve">524H0158</t>
  </si>
  <si>
    <t xml:space="preserve">Team Lead, System Architecture (MVC &amp; Deployment), Domain Model, C# .NET 10 WinForms Implementation, MSSQL Database &amp; Repository</t>
  </si>
  <si>
    <t xml:space="preserve">Member 3</t>
  </si>
  <si>
    <t xml:space="preserve">Lê Anh Tuân</t>
  </si>
  <si>
    <t xml:space="preserve">524H0074</t>
  </si>
  <si>
    <t xml:space="preserve">UML Activity Diagrams, Sequence Diagram, Payment Adapters, Visual Studio Model-to-Code Engineering &amp; Code Map, Copilot Prompt Validation</t>
  </si>
  <si>
    <t xml:space="preserve">Member 4</t>
  </si>
  <si>
    <t xml:space="preserve">Member 5</t>
  </si>
  <si>
    <t xml:space="preserve">Total contribution</t>
  </si>
  <si>
    <t xml:space="preserve">Contribution is the share of the whole project each member built, in agreement with the group. The lecturer may adjust it using the Git history, the pull requests and individual questions.</t>
  </si>
  <si>
    <t xml:space="preserve">Clarification Q&amp;A (Task 1, 5 marks)</t>
  </si>
  <si>
    <t xml:space="preserve">Identify the ambiguities in the problem statement, ask the stakeholders, and give logical assumed answers to base your design on.</t>
  </si>
  <si>
    <t xml:space="preserve">Q ID</t>
  </si>
  <si>
    <t xml:space="preserve">Area</t>
  </si>
  <si>
    <t xml:space="preserve">Ambiguity found in the problem statement</t>
  </si>
  <si>
    <t xml:space="preserve">Clarifying question to the stakeholder</t>
  </si>
  <si>
    <t xml:space="preserve">Stakeholder asked</t>
  </si>
  <si>
    <t xml:space="preserve">Assumed answer (logical)</t>
  </si>
  <si>
    <t xml:space="preserve">Rationale and impact on the design</t>
  </si>
  <si>
    <t xml:space="preserve">Requirement ID</t>
  </si>
  <si>
    <t xml:space="preserve">Status</t>
  </si>
  <si>
    <t xml:space="preserve">Lecturer comment</t>
  </si>
  <si>
    <t xml:space="preserve">Q01</t>
  </si>
  <si>
    <t xml:space="preserve">Ticket and fares</t>
  </si>
  <si>
    <t xml:space="preserve">The statement does not say which ticket types, modes or origins one TVM sells.</t>
  </si>
  <si>
    <t xml:space="preserve">Which ticket types and transport modes does one TVM sell, and can it sell tickets for any origin?</t>
  </si>
  <si>
    <t xml:space="preserve">Transport authority</t>
  </si>
  <si>
    <t xml:space="preserve">The TVM sells single-journey tickets and 1-day passes for MRT and bus. The origin is always the station or stop where the TVM is installed; the passenger chooses only the destination.</t>
  </si>
  <si>
    <t xml:space="preserve">Fixes the scope of the destination menu and removes the need for an origin selection screen.</t>
  </si>
  <si>
    <t xml:space="preserve">FR2, FR3</t>
  </si>
  <si>
    <t xml:space="preserve">Final</t>
  </si>
  <si>
    <t xml:space="preserve">Q02</t>
  </si>
  <si>
    <t xml:space="preserve">The statement does not say how the fare is calculated, in which currency or with what rounding.</t>
  </si>
  <si>
    <t xml:space="preserve">How is the fare calculated, and in which currency and rounding?</t>
  </si>
  <si>
    <t xml:space="preserve">Fare comes from a fare table by origin and destination (zone / distance based), in whole VND rounded to the nearest 1,000 VND. The table is maintained centrally.</t>
  </si>
  <si>
    <t xml:space="preserve">The fare must be shown before payment and must be identical on screen, payment request and ticket.</t>
  </si>
  <si>
    <t xml:space="preserve">FR4, DR1, DR2</t>
  </si>
  <si>
    <t xml:space="preserve">Q03</t>
  </si>
  <si>
    <t xml:space="preserve">The statement does not mention passenger categories or buying several tickets at once.</t>
  </si>
  <si>
    <t xml:space="preserve">Are there passenger categories (student, senior) and can one transaction buy several tickets?</t>
  </si>
  <si>
    <t xml:space="preserve">Fare categories are Adult, Student and Senior. One transaction can buy 1 to 5 tickets of the same type and destination.</t>
  </si>
  <si>
    <t xml:space="preserve">Affects the selection screens, the total fare and the number of barcodes printed.</t>
  </si>
  <si>
    <t xml:space="preserve">FR3, DR2</t>
  </si>
  <si>
    <t xml:space="preserve">Q04</t>
  </si>
  <si>
    <t xml:space="preserve">The statement does not say what the ticket shows, which barcode is used or how long it is valid.</t>
  </si>
  <si>
    <t xml:space="preserve">What must be printed on the ticket, which barcode type is used, and how long is the ticket valid?</t>
  </si>
  <si>
    <t xml:space="preserve">Operator</t>
  </si>
  <si>
    <t xml:space="preserve">Ticket shows ticket number, origin, destination, type, fare, date-time, expiry and TVM ID. Barcode is Code 128. A single-journey ticket is valid for one entry within 60 minutes on the day of issue.</t>
  </si>
  <si>
    <t xml:space="preserve">Gates must be able to validate the ticket. The validity rule defines what happens to tickets that are not used.</t>
  </si>
  <si>
    <t xml:space="preserve">FR10, DR3, DR4</t>
  </si>
  <si>
    <t xml:space="preserve">Q05</t>
  </si>
  <si>
    <t xml:space="preserve">Payment</t>
  </si>
  <si>
    <t xml:space="preserve">The statement lists three payment modes but not on which screen or in which order they are chosen.</t>
  </si>
  <si>
    <t xml:space="preserve">On which screen and in which order does the passenger select the payment mode?</t>
  </si>
  <si>
    <t xml:space="preserve">After the fare summary the TVM shows a payment-mode screen with three buttons (Credit Card, Bank QR, Digital Wallet); unavailable modes are hidden.</t>
  </si>
  <si>
    <t xml:space="preserve">Defines the main flow order: Start, destination, fare, payment mode, payment, ticket.</t>
  </si>
  <si>
    <t xml:space="preserve">FR1, FR5</t>
  </si>
  <si>
    <t xml:space="preserve">Q06</t>
  </si>
  <si>
    <t xml:space="preserve">The statement says 'credit card' but not which cards, entry methods or when a PIN is needed.</t>
  </si>
  <si>
    <t xml:space="preserve">Which cards and entry methods are accepted, and when is a PIN needed?</t>
  </si>
  <si>
    <t xml:space="preserve">Bank / payment gateway</t>
  </si>
  <si>
    <t xml:space="preserve">Visa, Mastercard, JCB and NAPAS credit and debit cards, by insert or tap. PIN is requested on a PIN pad when the processor asks for it (for example above the contactless limit).</t>
  </si>
  <si>
    <t xml:space="preserve">Defines the card reader hardware, the PIN pad and the PCI scope.</t>
  </si>
  <si>
    <t xml:space="preserve">FR6, DR5</t>
  </si>
  <si>
    <t xml:space="preserve">Q07</t>
  </si>
  <si>
    <t xml:space="preserve">Integration</t>
  </si>
  <si>
    <t xml:space="preserve">Bank QR and wallet QR are both mentioned but their difference and how payment is confirmed are unclear.</t>
  </si>
  <si>
    <t xml:space="preserve">Are bank QR and wallet QR different payment methods, and how does the TVM learn that either was paid?</t>
  </si>
  <si>
    <t xml:space="preserve">Both are dynamic QR codes shown on the TVM. Bank QR follows VietQR and the bank notifies the server; the wallet QR is provider specific and the wallet notifies the server by callback. The TVM never reads the passenger's phone.</t>
  </si>
  <si>
    <t xml:space="preserve">Two separate integrations with different confirmation messages; both must be modelled in the activity and sequence diagrams.</t>
  </si>
  <si>
    <t xml:space="preserve">FR7, FR8, DR6, DR7</t>
  </si>
  <si>
    <t xml:space="preserve">Q08</t>
  </si>
  <si>
    <t xml:space="preserve">The statement does not name the wallet gateways or say whether more can be added later.</t>
  </si>
  <si>
    <t xml:space="preserve">Which wallet gateways must be supported at launch, and must more be added later?</t>
  </si>
  <si>
    <t xml:space="preserve">Momo, ZaloPay and VNPay at launch. The passenger chooses the wallet on screen. The payment service uses one common interface so a new gateway can be added without changing the TVM.</t>
  </si>
  <si>
    <t xml:space="preserve">Leads to a payment-service layer and an adapter per gateway in the architecture and class diagram.</t>
  </si>
  <si>
    <t xml:space="preserve">FR8, DR7</t>
  </si>
  <si>
    <t xml:space="preserve">Q09</t>
  </si>
  <si>
    <t xml:space="preserve">It is unclear whether the card is authorised first and captured later or charged at once.</t>
  </si>
  <si>
    <t xml:space="preserve">Is the card authorised first and captured later, or charged at once?</t>
  </si>
  <si>
    <t xml:space="preserve">The card is authorised and captured in one step when the issuer approves. If the ticket cannot be printed, the payment is voided or refunded automatically.</t>
  </si>
  <si>
    <t xml:space="preserve">Decides when the ticket may be printed and what must be reversed after a print failure.</t>
  </si>
  <si>
    <t xml:space="preserve">FR9, FR15</t>
  </si>
  <si>
    <t xml:space="preserve">Q10</t>
  </si>
  <si>
    <t xml:space="preserve">Failure handling</t>
  </si>
  <si>
    <t xml:space="preserve">The statement does not say what happens when a card is declined.</t>
  </si>
  <si>
    <t xml:space="preserve">What happens if the card is declined, and how many attempts are allowed?</t>
  </si>
  <si>
    <t xml:space="preserve">A clear message is shown. The passenger has up to 3 attempts in total (same or other card) or can change payment mode; then the transaction is cancelled.</t>
  </si>
  <si>
    <t xml:space="preserve">Adds a loop and failure paths to the activity diagram and a retry counter to the model.</t>
  </si>
  <si>
    <t xml:space="preserve">FR14</t>
  </si>
  <si>
    <t xml:space="preserve">Q11</t>
  </si>
  <si>
    <t xml:space="preserve">No waiting times are defined, so the TVM could wait for ever at any step.</t>
  </si>
  <si>
    <t xml:space="preserve">How long does the TVM wait at each step before giving up?</t>
  </si>
  <si>
    <t xml:space="preserve">Idle on a selection screen: 60 s. Card prompt: 30 s. QR payment: 120 s. After a timeout the TVM offers "Try again" or "Cancel".</t>
  </si>
  <si>
    <t xml:space="preserve">Timeouts create states and transitions in the state chart and exception flows in the use cases.</t>
  </si>
  <si>
    <t xml:space="preserve">FR12, FR13</t>
  </si>
  <si>
    <t xml:space="preserve">Q12</t>
  </si>
  <si>
    <t xml:space="preserve">It is unclear what happens when a payment is confirmed after the transaction timed out or was cancelled.</t>
  </si>
  <si>
    <t xml:space="preserve">What should happen to a payment that is confirmed after the transaction timed out or was cancelled?</t>
  </si>
  <si>
    <t xml:space="preserve">No ticket is printed. The late payment is automatically refunded, and every payment request has a unique transaction ID so the same payment can never be applied twice.</t>
  </si>
  <si>
    <t xml:space="preserve">Hidden complexity: asynchronous callbacks and duplicate prevention drive the sequence diagram and the data model.</t>
  </si>
  <si>
    <t xml:space="preserve">FR16, NFR2</t>
  </si>
  <si>
    <t xml:space="preserve">Q13</t>
  </si>
  <si>
    <t xml:space="preserve">The statement does not say when and how the passenger can cancel.</t>
  </si>
  <si>
    <t xml:space="preserve">When can the passenger cancel and what happens afterwards?</t>
  </si>
  <si>
    <t xml:space="preserve">Cancel is available on every screen until payment is confirmed; it voids pending QR sessions and returns to Idle. After payment is confirmed the ticket is printed and cannot be cancelled at the TVM.</t>
  </si>
  <si>
    <t xml:space="preserve">Defines the Cancel use case and the point of no return in the state chart.</t>
  </si>
  <si>
    <t xml:space="preserve">FR11</t>
  </si>
  <si>
    <t xml:space="preserve">Q14</t>
  </si>
  <si>
    <t xml:space="preserve">The statement stops at 'ticket issued'; payment may succeed but printing may fail.</t>
  </si>
  <si>
    <t xml:space="preserve">What happens if payment is confirmed but the ticket cannot be printed, and how fast must the refund start?</t>
  </si>
  <si>
    <t xml:space="preserve">The refund is started automatically within 60 seconds in 99% of cases. The screen shows a reference number; money returns to the card, bank or wallet account by the provider's normal settlement time.</t>
  </si>
  <si>
    <t xml:space="preserve">This is the main money-safety risk and the main reliability requirement.</t>
  </si>
  <si>
    <t xml:space="preserve">FR15, NFR2, NFR1</t>
  </si>
  <si>
    <t xml:space="preserve">Q15</t>
  </si>
  <si>
    <t xml:space="preserve">Hardware</t>
  </si>
  <si>
    <t xml:space="preserve">Printer problems (paper low, paper out, jam) are not covered.</t>
  </si>
  <si>
    <t xml:space="preserve">What should the TVM do when paper is low, paper is out, or the printer jams?</t>
  </si>
  <si>
    <t xml:space="preserve">Maintenance</t>
  </si>
  <si>
    <t xml:space="preserve">Alert maintenance when fewer than 50 tickets remain. Paper out or jam stops sales and shows "Out of service"; a jam during a paid sale triggers the automatic refund.</t>
  </si>
  <si>
    <t xml:space="preserve">Adds device monitoring, alerts and an Out of service state.</t>
  </si>
  <si>
    <t xml:space="preserve">FR18, FR19</t>
  </si>
  <si>
    <t xml:space="preserve">Q16</t>
  </si>
  <si>
    <t xml:space="preserve">The hardware of the TVM and the acceptance of cash are not specified.</t>
  </si>
  <si>
    <t xml:space="preserve">Which devices does the TVM have, and does it accept cash?</t>
  </si>
  <si>
    <t xml:space="preserve">Touchscreen, EMV contact and contactless reader with PIN pad, thermal ticket printer, network module and a door contact. No cash acceptance and no change handling.</t>
  </si>
  <si>
    <t xml:space="preserve">Removes cash use cases and defines the hardware nodes for the deployment diagram.</t>
  </si>
  <si>
    <t xml:space="preserve">FR6, NFR19</t>
  </si>
  <si>
    <t xml:space="preserve">Q17</t>
  </si>
  <si>
    <t xml:space="preserve">Performance and reliability</t>
  </si>
  <si>
    <t xml:space="preserve">'Fast' response is not defined for any step of the purchase.</t>
  </si>
  <si>
    <t xml:space="preserve">What response times are acceptable for each step, and for the whole purchase?</t>
  </si>
  <si>
    <t xml:space="preserve">Menu &lt;= 1 s, fare screen &lt;= 1 s, card result &lt;= 5 s, QR shown &lt;= 2 s, wallet confirmation on screen &lt;= 2 s, print start &lt;= 2 s, whole system time per purchase &lt;= 15 s (all at the 95th percentile).</t>
  </si>
  <si>
    <t xml:space="preserve">Gives each step a measurable limit that can be tested in the demo and the log.</t>
  </si>
  <si>
    <t xml:space="preserve">NFR7, NFR8, NFR9, NFR10, NFR11, NFR12, NFR13, NFR14</t>
  </si>
  <si>
    <t xml:space="preserve">Q18</t>
  </si>
  <si>
    <t xml:space="preserve">'Reliable' is not defined: no availability or print-success target.</t>
  </si>
  <si>
    <t xml:space="preserve">What availability and failure rate does the operator expect?</t>
  </si>
  <si>
    <t xml:space="preserve">Each TVM is available 99.5% of the operating hours (05:00-23:00); the central server 99.9%; at least 99.5% of paid sales print a ticket without staff help.</t>
  </si>
  <si>
    <t xml:space="preserve">Gives measurable reliability targets for the TVM and the server.</t>
  </si>
  <si>
    <t xml:space="preserve">NFR5, NFR6, NFR1</t>
  </si>
  <si>
    <t xml:space="preserve">Q19</t>
  </si>
  <si>
    <t xml:space="preserve">The number of TVMs and the peak load are not given.</t>
  </si>
  <si>
    <t xml:space="preserve">How many TVMs will be connected and what is the peak transaction rate?</t>
  </si>
  <si>
    <t xml:space="preserve">500 TVMs; at peak, 100 transactions per second across the central system (each TVM sells about 1 ticket every 30 s at peak).</t>
  </si>
  <si>
    <t xml:space="preserve">Sizes the central server and the load test.</t>
  </si>
  <si>
    <t xml:space="preserve">NFR20</t>
  </si>
  <si>
    <t xml:space="preserve">Q20</t>
  </si>
  <si>
    <t xml:space="preserve">Behaviour during network loss or power cut is not described.</t>
  </si>
  <si>
    <t xml:space="preserve">What should the TVM do if the network or the central server is not reachable, and after a power cut?</t>
  </si>
  <si>
    <t xml:space="preserve">Card, QR and wallet need a live connection, so the TVM disables them within 10 s and shows Out of service for payment. It buffers up to 10,000 log records and syncs within 5 minutes after reconnection. After a power cut it returns to Idle within 90 s and recovers any open transaction.</t>
  </si>
  <si>
    <t xml:space="preserve">Hidden complexity: no offline sales, but the log and the open transaction must survive.</t>
  </si>
  <si>
    <t xml:space="preserve">NFR4, NFR3, FR19</t>
  </si>
  <si>
    <t xml:space="preserve">Q21</t>
  </si>
  <si>
    <t xml:space="preserve">Security</t>
  </si>
  <si>
    <t xml:space="preserve">The responsibility for card data and the applicable security standard are not stated.</t>
  </si>
  <si>
    <t xml:space="preserve">Who is responsible for card data and which security standard applies?</t>
  </si>
  <si>
    <t xml:space="preserve">Card data goes only through a PCI-certified encrypting reader. The TVM software never sees, stores or logs the card number or PIN.</t>
  </si>
  <si>
    <t xml:space="preserve">Keeps the application out of the most demanding part of PCI scope.</t>
  </si>
  <si>
    <t xml:space="preserve">NFR15, DR5</t>
  </si>
  <si>
    <t xml:space="preserve">Q22</t>
  </si>
  <si>
    <t xml:space="preserve">Protection of QR codes and gateway confirmations against fraud or replay is not stated.</t>
  </si>
  <si>
    <t xml:space="preserve">How are QR codes and gateway confirmations protected against fraud or replay?</t>
  </si>
  <si>
    <t xml:space="preserve">Each QR is single-use and expires after 120 s. All traffic uses TLS 1.2+, and every callback must carry a valid signature or it is ignored.</t>
  </si>
  <si>
    <t xml:space="preserve">Defines the signature check in the payment service and the security tests.</t>
  </si>
  <si>
    <t xml:space="preserve">NFR17, NFR16</t>
  </si>
  <si>
    <t xml:space="preserve">Q23</t>
  </si>
  <si>
    <t xml:space="preserve">Users and accessibility</t>
  </si>
  <si>
    <t xml:space="preserve">Languages and accessibility needs of passengers are not stated.</t>
  </si>
  <si>
    <t xml:space="preserve">Which languages and accessibility features must the screens support?</t>
  </si>
  <si>
    <t xml:space="preserve">Passenger</t>
  </si>
  <si>
    <t xml:space="preserve">Vietnamese and English; large text (&gt;= 18 pt), high contrast (&gt;= 4.5:1), touch targets &gt;= 15 mm, and a purchase in no more than 5 touches.</t>
  </si>
  <si>
    <t xml:space="preserve">Drives the wireframes and the usability test.</t>
  </si>
  <si>
    <t xml:space="preserve">FR1, NFR18, NFR19</t>
  </si>
  <si>
    <t xml:space="preserve">Q24</t>
  </si>
  <si>
    <t xml:space="preserve">Other</t>
  </si>
  <si>
    <t xml:space="preserve">Who maintains the machines and fares, and how they sign in, is not described.</t>
  </si>
  <si>
    <t xml:space="preserve">Who maintains the machines and fares, and how do they sign in?</t>
  </si>
  <si>
    <t xml:space="preserve">Maintenance staff use a staff card and PIN on the TVM service menu (refill, self-test, reset). An administrator maintains fares and destinations in the back-office and changes reach all online TVMs within 5 minutes.</t>
  </si>
  <si>
    <t xml:space="preserve">Adds two more actors and use cases (Service the TVM, Manage fares).</t>
  </si>
  <si>
    <t xml:space="preserve">FR21, FR20, FR18</t>
  </si>
  <si>
    <t xml:space="preserve">Q25</t>
  </si>
  <si>
    <t xml:space="preserve">Record keeping, checking and retention of transactions are not described.</t>
  </si>
  <si>
    <t xml:space="preserve">Which records must be kept, how are they checked, and for how long?</t>
  </si>
  <si>
    <t xml:space="preserve">Every transaction step is logged and synchronised; each day the back-office reconciles with provider settlement files. Records are kept for 5 years (to be confirmed by Finance and Legal) and handled under Decree 13/2023/ND-CP.</t>
  </si>
  <si>
    <t xml:space="preserve">Adds the reconciliation use case and the retention and privacy rule.</t>
  </si>
  <si>
    <t xml:space="preserve">FR17, FR22, DR8</t>
  </si>
  <si>
    <t xml:space="preserve">Questions written</t>
  </si>
  <si>
    <t xml:space="preserve">Questions linked to a requirement</t>
  </si>
  <si>
    <t xml:space="preserve">Areas covered</t>
  </si>
  <si>
    <t xml:space="preserve">Strong Q&amp;A uncovers hidden complexity (timeouts, declined payments, refunds, printer or paper out, offline mode, fares). Aim for several different areas, not many questions on one topic.</t>
  </si>
  <si>
    <t xml:space="preserve">Requirements Specification (Task 2, 15 marks)</t>
  </si>
  <si>
    <t xml:space="preserve">Functional, Non-Functional and Domain requirements. Every NFR needs a measurable metric. Focus: reliability and response time.</t>
  </si>
  <si>
    <t xml:space="preserve">ID</t>
  </si>
  <si>
    <t xml:space="preserve">Requirement</t>
  </si>
  <si>
    <t xml:space="preserve">Type</t>
  </si>
  <si>
    <t xml:space="preserve">Category (NFR)</t>
  </si>
  <si>
    <t xml:space="preserve">Measurable metric / fit criterion (NFR)</t>
  </si>
  <si>
    <t xml:space="preserve">Measurement method</t>
  </si>
  <si>
    <t xml:space="preserve">Priority</t>
  </si>
  <si>
    <t xml:space="preserve">Use case</t>
  </si>
  <si>
    <t xml:space="preserve">Source (Q ID)</t>
  </si>
  <si>
    <t xml:space="preserve">The TVM shall display a welcome screen with a "Start" button and a language selector (Vietnamese / English) whenever it is idle.</t>
  </si>
  <si>
    <t xml:space="preserve">FR</t>
  </si>
  <si>
    <t xml:space="preserve">High</t>
  </si>
  <si>
    <t xml:space="preserve">UC01</t>
  </si>
  <si>
    <t xml:space="preserve">Q05, Q23</t>
  </si>
  <si>
    <t xml:space="preserve">After the passenger presses "Start", the TVM shall display a menu of destinations (stations and bus stops), grouped by line / mode (MRT, Bus) and searchable by name.</t>
  </si>
  <si>
    <t xml:space="preserve">UC02</t>
  </si>
  <si>
    <t xml:space="preserve">The TVM shall let the passenger choose the ticket type (single journey or 1-day pass), the fare category (Adult, Student, Senior) and the quantity (1 to 5 tickets per transaction).</t>
  </si>
  <si>
    <t xml:space="preserve">Medium</t>
  </si>
  <si>
    <t xml:space="preserve">Q01, Q03</t>
  </si>
  <si>
    <t xml:space="preserve">The TVM shall calculate the total fare in VND from the current fare table (origin = this TVM's station, destination = selected) and show it to the passenger before payment is requested.</t>
  </si>
  <si>
    <t xml:space="preserve">The TVM shall present a payment-mode screen offering Credit Card, Bank QR Code and Digital Wallet, and shall show only the modes that are currently available.</t>
  </si>
  <si>
    <t xml:space="preserve">For card payment, the TVM shall prompt the passenger to insert or tap a credit / debit card, request authorisation from the card processor, and ask for a PIN on the secure PIN pad when the processor requires it.</t>
  </si>
  <si>
    <t xml:space="preserve">UC03</t>
  </si>
  <si>
    <t xml:space="preserve">Q06, Q16</t>
  </si>
  <si>
    <t xml:space="preserve">For Bank QR payment, the TVM shall generate a dynamic bank QR code (amount and transaction reference embedded), display it on screen and wait for the bank's payment confirmation.</t>
  </si>
  <si>
    <t xml:space="preserve">UC04</t>
  </si>
  <si>
    <t xml:space="preserve">For Digital Wallet payment, the TVM shall let the passenger pick a wallet (Momo, ZaloPay or VNPay), generate and display that wallet's QR code, and wait for the wallet gateway's payment confirmation.</t>
  </si>
  <si>
    <t xml:space="preserve">UC05</t>
  </si>
  <si>
    <t xml:space="preserve">Q07, Q08</t>
  </si>
  <si>
    <t xml:space="preserve">The TVM shall issue a ticket only after the payment processor has returned a confirmed (approved / paid) status for the transaction.</t>
  </si>
  <si>
    <t xml:space="preserve">UC01, UC06</t>
  </si>
  <si>
    <t xml:space="preserve">The TVM shall print a paper ticket carrying a barcode, ticket number, origin, destination, ticket type, fare, issue date-time, expiry and TVM ID, and then show a success screen with the transaction reference.</t>
  </si>
  <si>
    <t xml:space="preserve">UC06</t>
  </si>
  <si>
    <t xml:space="preserve">The TVM shall provide a "Cancel" button on every screen before payment is confirmed; cancelling shall void any pending payment session (including displayed QR codes) and return the TVM to Idle.</t>
  </si>
  <si>
    <t xml:space="preserve">UC07</t>
  </si>
  <si>
    <t xml:space="preserve">The TVM shall discard the current selection and return to the welcome screen after 60 seconds without passenger input before a payment has been started.</t>
  </si>
  <si>
    <t xml:space="preserve">The TVM shall expire a pending card prompt after 30 seconds and a pending QR payment after 120 seconds, tell the passenger, and offer "Try again" or "Cancel".</t>
  </si>
  <si>
    <t xml:space="preserve">UC03, UC04, UC05</t>
  </si>
  <si>
    <t xml:space="preserve">If a card payment is declined, the TVM shall show a clear message and allow up to 3 attempts in total (same or another card) or a change of payment mode before cancelling the transaction.</t>
  </si>
  <si>
    <t xml:space="preserve">If a payment is confirmed but the ticket cannot be printed (printer jam, paper out, power fault), the TVM / server shall automatically start a refund or void of that payment and show the passenger a reference number.</t>
  </si>
  <si>
    <t xml:space="preserve">UC08</t>
  </si>
  <si>
    <t xml:space="preserve">Q09, Q14</t>
  </si>
  <si>
    <t xml:space="preserve">The system shall give every payment request a unique transaction ID (idempotency key) so that a payment is never charged twice, and shall automatically refund any payment that is confirmed after the transaction has timed out or been cancelled.</t>
  </si>
  <si>
    <t xml:space="preserve">The TVM shall record every transaction step (transaction ID, TVM ID, timestamp, state, result) in a local store and synchronise it to the central database.</t>
  </si>
  <si>
    <t xml:space="preserve">UC01, UC12</t>
  </si>
  <si>
    <t xml:space="preserve">The TVM shall send a heartbeat with its status (network, printer, paper level, card reader, door contact) to the monitoring server every 60 seconds and raise an alert when paper falls below 50 tickets or a device fails.</t>
  </si>
  <si>
    <t xml:space="preserve">UC10</t>
  </si>
  <si>
    <t xml:space="preserve">Q15, Q24</t>
  </si>
  <si>
    <t xml:space="preserve">The TVM shall stop selling and show an "Out of service" screen when the printer or paper is unavailable, and shall disable only the affected payment mode when a single payment channel is unavailable.</t>
  </si>
  <si>
    <t xml:space="preserve">Q15, Q20</t>
  </si>
  <si>
    <t xml:space="preserve">The back-office shall let an authorised administrator maintain destinations, ticket types and fares, and shall distribute approved changes to all online TVMs within 5 minutes without a software redeploy.</t>
  </si>
  <si>
    <t xml:space="preserve">UC11</t>
  </si>
  <si>
    <t xml:space="preserve">The TVM shall provide an authenticated service menu (staff card and PIN) for maintenance staff to record a paper refill, run a hardware self-test and reset fault flags.</t>
  </si>
  <si>
    <t xml:space="preserve">UC09</t>
  </si>
  <si>
    <t xml:space="preserve">The back-office shall reconcile TVM transactions with the settlement files of the card processor, bank and wallet gateways once per day and flag every mismatch for review.</t>
  </si>
  <si>
    <t xml:space="preserve">UC12</t>
  </si>
  <si>
    <t xml:space="preserve">At least 99.5% of transactions with confirmed payment shall end with a readable ticket printed without staff intervention; all others shall end in an automatic refund (see the refund requirement).</t>
  </si>
  <si>
    <t xml:space="preserve">NFR</t>
  </si>
  <si>
    <t xml:space="preserve">Reliability</t>
  </si>
  <si>
    <t xml:space="preserve">≥ 99.5% of paid transactions print a ticket without staff help</t>
  </si>
  <si>
    <t xml:space="preserve">Monthly analysis of transaction log (paid vs. printed) and printer error log</t>
  </si>
  <si>
    <t xml:space="preserve">UC06, UC08</t>
  </si>
  <si>
    <t xml:space="preserve">Q14, Q18</t>
  </si>
  <si>
    <t xml:space="preserve">No customer shall be charged without receiving a ticket or a refund: 100% of confirmed payments shall end as a printed ticket or an initiated refund, and the refund request shall be submitted within 60 seconds of the failure in 99% of cases.</t>
  </si>
  <si>
    <t xml:space="preserve">100% of confirmed payments end in a ticket or a refund; refund submitted ≤ 60 s in 99% of cases</t>
  </si>
  <si>
    <t xml:space="preserve">Daily reconciliation report; fault-injection test (paper out, jam, power cut) repeated 100 times</t>
  </si>
  <si>
    <t xml:space="preserve">Q12, Q14</t>
  </si>
  <si>
    <t xml:space="preserve">After a power loss or software crash the TVM shall restart to the Idle screen within 90 seconds and shall recover any in-flight transaction from local storage without a duplicate charge.</t>
  </si>
  <si>
    <t xml:space="preserve">Restart to Idle ≤ 90 s after power loss; no duplicate charge</t>
  </si>
  <si>
    <t xml:space="preserve">Forced power-cut test on a test TVM (50 repetitions) with log inspection</t>
  </si>
  <si>
    <t xml:space="preserve">UC01, UC08, UC12</t>
  </si>
  <si>
    <t xml:space="preserve">When the central server or payment network cannot be reached, the TVM shall detect it within 10 seconds, disable the card, QR and wallet options, and keep up to 10,000 log records locally to synchronise within 5 minutes after the connection returns.</t>
  </si>
  <si>
    <t xml:space="preserve">Network loss detected ≤ 10 s; 10,000 records buffered; sync ≤ 5 min after reconnection</t>
  </si>
  <si>
    <t xml:space="preserve">Network-cut test (disconnect, wait, reconnect) with timestamps from the TVM log</t>
  </si>
  <si>
    <t xml:space="preserve">UC01, UC10, UC12</t>
  </si>
  <si>
    <t xml:space="preserve">Each TVM shall be available for sale for at least 99.5% of its operating hours (05:00 to 23:00 daily) in every calendar month, excluding planned maintenance.</t>
  </si>
  <si>
    <t xml:space="preserve">Availability</t>
  </si>
  <si>
    <t xml:space="preserve">TVM availability ≥ 99.5% of operating hours (05:00-23:00)</t>
  </si>
  <si>
    <t xml:space="preserve">Heartbeat records from the monitoring server (up time / scheduled time)</t>
  </si>
  <si>
    <t xml:space="preserve">The central ticketing server (payment service, database, back-office) shall be available at least 99.9% of the time in every calendar month.</t>
  </si>
  <si>
    <t xml:space="preserve">Server availability ≥ 99.9% per month</t>
  </si>
  <si>
    <t xml:space="preserve">Uptime monitoring probe every 30 s on the payment-service endpoint</t>
  </si>
  <si>
    <t xml:space="preserve">The TVM shall display the destination menu within 1.0 second of the Start button being pressed in 95% of cases, and within 2.0 seconds in 99% of cases.</t>
  </si>
  <si>
    <t xml:space="preserve">Response time</t>
  </si>
  <si>
    <t xml:space="preserve">Destination menu ≤ 1.0 s (95%) and ≤ 2.0 s (99%)</t>
  </si>
  <si>
    <t xml:space="preserve">Timestamps in the TVM log over 1,000 transactions</t>
  </si>
  <si>
    <t xml:space="preserve">The TVM shall give visible feedback to every touch within 200 milliseconds in 99% of touches.</t>
  </si>
  <si>
    <t xml:space="preserve">Touch feedback ≤ 200 ms in 99% of touches</t>
  </si>
  <si>
    <t xml:space="preserve">High-speed camera / UI event timestamps over 500 touches</t>
  </si>
  <si>
    <t xml:space="preserve">UC01, UC02</t>
  </si>
  <si>
    <t xml:space="preserve">After a destination is selected, the TVM shall display the fare summary and payment-mode screen within 1.0 second in 95% of cases.</t>
  </si>
  <si>
    <t xml:space="preserve">Fare and payment-mode screen ≤ 1.0 s in 95% of cases</t>
  </si>
  <si>
    <t xml:space="preserve">The TVM shall show the card result (approved or declined) within 5 seconds of the card being tapped or inserted in 95% of cases, and shall treat no answer within 10 seconds as a timeout.</t>
  </si>
  <si>
    <t xml:space="preserve">Card result ≤ 5 s in 95% of cases; timeout at 10 s</t>
  </si>
  <si>
    <t xml:space="preserve">Timestamps (card read, authorisation response) over 1,000 card payments in the test environment</t>
  </si>
  <si>
    <t xml:space="preserve">The TVM shall display the QR code within 2.0 seconds of the passenger selecting Bank QR or a wallet in 95% of cases, and within 4.0 seconds in 99% of cases.</t>
  </si>
  <si>
    <t xml:space="preserve">QR code shown ≤ 2.0 s (95%) and ≤ 4.0 s (99%)</t>
  </si>
  <si>
    <t xml:space="preserve">Timestamps (selection, QR rendered) over 1,000 QR requests against the gateway sandbox</t>
  </si>
  <si>
    <t xml:space="preserve">UC04, UC05</t>
  </si>
  <si>
    <t xml:space="preserve">After the server receives a payment confirmation from a gateway, the TVM shall show "Payment received" within 2 seconds in 95% of cases.</t>
  </si>
  <si>
    <t xml:space="preserve">'Payment received' shown ≤ 2 s in 95% of cases</t>
  </si>
  <si>
    <t xml:space="preserve">Server and TVM timestamps over 1,000 sandbox payments</t>
  </si>
  <si>
    <t xml:space="preserve">UC01, UC04, UC05, UC06</t>
  </si>
  <si>
    <t xml:space="preserve">The TVM shall start printing within 2 seconds of payment confirmation and eject the finished ticket within 5 seconds of confirmation in 99% of cases.</t>
  </si>
  <si>
    <t xml:space="preserve">Print starts ≤ 2 s and ticket ejected ≤ 5 s (99%)</t>
  </si>
  <si>
    <t xml:space="preserve">Timestamps (confirmation, print start, eject sensor) over 1,000 tickets</t>
  </si>
  <si>
    <t xml:space="preserve">The processing time caused by the system for one complete card purchase (Start pressed to ticket ejected, excluding the passenger's own decision and card handling time) shall not exceed 15 seconds in 95% of cases.</t>
  </si>
  <si>
    <t xml:space="preserve">Whole card purchase ≤ 15 s in 95% of cases</t>
  </si>
  <si>
    <t xml:space="preserve">Sum of step timestamps in the TVM log over 1,000 card transactions</t>
  </si>
  <si>
    <t xml:space="preserve">UC01, UC02, UC03, UC06</t>
  </si>
  <si>
    <t xml:space="preserve">The TVM shall never store, display or log the full card number, expiry date or PIN; card data shall pass only through a PCI-certified reader that encrypts it at the point of entry.</t>
  </si>
  <si>
    <t xml:space="preserve">0 occurrences of card number, expiry or PIN stored, shown or logged</t>
  </si>
  <si>
    <t xml:space="preserve">PCI DSS assessment, log and database inspection, penetration test</t>
  </si>
  <si>
    <t xml:space="preserve">All communication between TVM, server and gateways shall use TLS 1.2 or higher, and every gateway callback shall be rejected unless its signature (HMAC-SHA256 or the provider's scheme) is valid.</t>
  </si>
  <si>
    <t xml:space="preserve">TLS ≥ 1.2; 100% of callbacks with invalid signature rejected</t>
  </si>
  <si>
    <t xml:space="preserve">Security test suite with 200 forged and replayed callbacks; TLS configuration scan</t>
  </si>
  <si>
    <t xml:space="preserve">Each QR code shall be bound to one transaction, be single-use and expire after 120 seconds; a replayed or expired QR shall never produce a ticket.</t>
  </si>
  <si>
    <t xml:space="preserve">QR single-use, expires after 120 s; 0 tickets from replayed or expired QR</t>
  </si>
  <si>
    <t xml:space="preserve">Test with 100 replayed and 100 expired QR payments against the sandbox</t>
  </si>
  <si>
    <t xml:space="preserve">UC04, UC05, UC08</t>
  </si>
  <si>
    <t xml:space="preserve">A first-time passenger shall be able to buy a ticket with no more than 5 touches (excluding card or phone handling), and at least 90% of 20 test users shall succeed within 90 seconds without help.</t>
  </si>
  <si>
    <t xml:space="preserve">Usability</t>
  </si>
  <si>
    <t xml:space="preserve">≤ 5 touches; ≥ 90% of 20 users succeed within 90 s</t>
  </si>
  <si>
    <t xml:space="preserve">Usability test with 20 users, observation sheet and stopwatch</t>
  </si>
  <si>
    <t xml:space="preserve">All screens shall be available in Vietnamese and English, use text of at least 18 pt with a contrast ratio of at least 4.5:1, and have touch targets of at least 15 mm.</t>
  </si>
  <si>
    <t xml:space="preserve">Vietnamese and English; text ≥ 18 pt; contrast ≥ 4.5:1; touch targets ≥ 15 mm</t>
  </si>
  <si>
    <t xml:space="preserve">Design review against the checklist and measurement on a real screen</t>
  </si>
  <si>
    <t xml:space="preserve">Q16, Q23</t>
  </si>
  <si>
    <t xml:space="preserve">The central system shall support 500 TVMs and a peak of 100 transactions per second while keeping all response-time requirements above.</t>
  </si>
  <si>
    <t xml:space="preserve">Capacity</t>
  </si>
  <si>
    <t xml:space="preserve">500 TVMs and 100 transactions/s at peak with response times kept</t>
  </si>
  <si>
    <t xml:space="preserve">Load test (JMeter or similar) for 30 minutes at peak load</t>
  </si>
  <si>
    <t xml:space="preserve">UC01, UC06, UC12</t>
  </si>
  <si>
    <t xml:space="preserve">All fares shall be in Vietnamese dong (VND) as whole numbers, rounded to the nearest 1,000 VND, with the same fare shown on screen, ticket and payment request. (Related: FR4, FR10)</t>
  </si>
  <si>
    <t xml:space="preserve">DR</t>
  </si>
  <si>
    <t xml:space="preserve">Source: Transport authority fare policy; VND</t>
  </si>
  <si>
    <t xml:space="preserve">UC02, UC06</t>
  </si>
  <si>
    <t xml:space="preserve">The fare shall be taken from the transport authority's fare table by origin and destination (zone or distance based), with a discount for Student and Senior categories and a lower price for the 1-day pass, as defined by the authority. (Related: FR4, FR3)</t>
  </si>
  <si>
    <t xml:space="preserve">Source: Transport authority fare policy</t>
  </si>
  <si>
    <t xml:space="preserve">Q02, Q03</t>
  </si>
  <si>
    <t xml:space="preserve">A single-journey ticket shall be valid for one entry within 60 minutes of issue on the day of issue; a 1-day pass shall be valid for unlimited entry until the end of service on the day of issue. (Related: FR10)</t>
  </si>
  <si>
    <t xml:space="preserve">Source: Operator ticketing rules</t>
  </si>
  <si>
    <t xml:space="preserve">The barcode shall be Code 128 encoding a unique, non-sequential ticket number plus a verification code, so that gates can validate the ticket against the central database or by signature when offline. (Related: FR10)</t>
  </si>
  <si>
    <t xml:space="preserve">Source: Operator gate system; Code 128 (ISO/IEC 15417)</t>
  </si>
  <si>
    <t xml:space="preserve">Card acceptance shall follow EMV contact and contactless rules, and the TVM and its payment flow shall comply with PCI DSS and PCI PTS for the PIN pad. (Related: FR6, NFR15)</t>
  </si>
  <si>
    <t xml:space="preserve">Source: EMVCo; PCI SSC (PCI DSS, PCI PTS)</t>
  </si>
  <si>
    <t xml:space="preserve">UC03, UC08</t>
  </si>
  <si>
    <t xml:space="preserve">Q06, Q21</t>
  </si>
  <si>
    <t xml:space="preserve">Bank QR codes shall follow the VietQR (NAPAS) standard so that any participating banking app can pay them. (Related: FR7)</t>
  </si>
  <si>
    <t xml:space="preserve">Source: NAPAS VietQR standard</t>
  </si>
  <si>
    <t xml:space="preserve">Wallet payments shall follow each provider's merchant API contract (Momo, ZaloPay, VNPay): signed requests, server-to-server confirmation (callback / IPN), and daily settlement files. (Related: FR8, NFR16)</t>
  </si>
  <si>
    <t xml:space="preserve">Source: Momo, ZaloPay and VNPay merchant API contracts</t>
  </si>
  <si>
    <t xml:space="preserve">UC05, UC08</t>
  </si>
  <si>
    <t xml:space="preserve">Personal and transaction data shall be handled according to Vietnamese personal-data protection rules (Decree 13/2023/ND-CP), and transaction and audit records shall be kept for 5 years (period to be confirmed by the operator's Finance and Legal teams). (Related: FR17, FR22)</t>
  </si>
  <si>
    <t xml:space="preserve">Source: Decree 13/2023/ND-CP; accounting record rules (to be confirmed)</t>
  </si>
  <si>
    <t xml:space="preserve">Functional requirements</t>
  </si>
  <si>
    <t xml:space="preserve">Non-functional requirements</t>
  </si>
  <si>
    <t xml:space="preserve">Domain requirements</t>
  </si>
  <si>
    <t xml:space="preserve">NFRs without a measurable metric</t>
  </si>
  <si>
    <t xml:space="preserve">Reliability NFRs (need at least 1)</t>
  </si>
  <si>
    <t xml:space="preserve">Response-time NFRs (need at least 1)</t>
  </si>
  <si>
    <t xml:space="preserve">Critical focus check</t>
  </si>
  <si>
    <t xml:space="preserve">Use Case Register (Task 3)</t>
  </si>
  <si>
    <t xml:space="preserve">One row per use case. Each needs a full description and appears in the use case diagram.</t>
  </si>
  <si>
    <t xml:space="preserve">Primary actor</t>
  </si>
  <si>
    <t xml:space="preserve">Short description</t>
  </si>
  <si>
    <t xml:space="preserve">Requirement IDs</t>
  </si>
  <si>
    <t xml:space="preserve">Description written?</t>
  </si>
  <si>
    <t xml:space="preserve">In activity / sequence diagram?</t>
  </si>
  <si>
    <t xml:space="preserve">Owner (ID)</t>
  </si>
  <si>
    <t xml:space="preserve">Buy a Ticket</t>
  </si>
  <si>
    <t xml:space="preserve">Main use case: from pressing Start to receiving the ticket. Includes UC02, one of UC03/UC04/UC05 for payment, and UC06.</t>
  </si>
  <si>
    <t xml:space="preserve">FR1, FR5, FR9, FR12, FR17</t>
  </si>
  <si>
    <t xml:space="preserve">Yes</t>
  </si>
  <si>
    <t xml:space="preserve">Select Destination and Ticket Options</t>
  </si>
  <si>
    <t xml:space="preserve">Choose destination, ticket type, fare category and quantity and see the fare.</t>
  </si>
  <si>
    <t xml:space="preserve">FR2, FR3, FR4</t>
  </si>
  <si>
    <t xml:space="preserve">Pay by Credit Card</t>
  </si>
  <si>
    <t xml:space="preserve">Insert or tap a card, authorise the payment and receive the result.</t>
  </si>
  <si>
    <t xml:space="preserve">FR6, FR13, FR14</t>
  </si>
  <si>
    <t xml:space="preserve">Pay by Bank QR Code</t>
  </si>
  <si>
    <t xml:space="preserve">Scan the dynamic VietQR code with a banking app and receive confirmation.</t>
  </si>
  <si>
    <t xml:space="preserve">FR7, FR13</t>
  </si>
  <si>
    <t xml:space="preserve">Pay by Digital Wallet</t>
  </si>
  <si>
    <t xml:space="preserve">Choose a wallet, scan its QR code and receive confirmation.</t>
  </si>
  <si>
    <t xml:space="preserve">FR8, FR13</t>
  </si>
  <si>
    <t xml:space="preserve">Print Ticket</t>
  </si>
  <si>
    <t xml:space="preserve">TVM (on behalf of Passenger)</t>
  </si>
  <si>
    <t xml:space="preserve">After confirmed payment, print the paper ticket with barcode and show the success screen.</t>
  </si>
  <si>
    <t xml:space="preserve">FR9, FR10</t>
  </si>
  <si>
    <t xml:space="preserve">Cancel Transaction</t>
  </si>
  <si>
    <t xml:space="preserve">Cancel before payment is confirmed and return to Idle (extends UC01).</t>
  </si>
  <si>
    <t xml:space="preserve">Refund Failed Transaction</t>
  </si>
  <si>
    <t xml:space="preserve">Payment system (automatic)</t>
  </si>
  <si>
    <t xml:space="preserve">Refund or void a confirmed payment when no ticket was issued, or when payment arrives late.</t>
  </si>
  <si>
    <t xml:space="preserve">FR15, FR16</t>
  </si>
  <si>
    <t xml:space="preserve">Service the TVM</t>
  </si>
  <si>
    <t xml:space="preserve">Maintenance Staff</t>
  </si>
  <si>
    <t xml:space="preserve">Sign in to the service menu, refill paper, run self-test and reset faults.</t>
  </si>
  <si>
    <t xml:space="preserve">FR21</t>
  </si>
  <si>
    <t xml:space="preserve">Monitor TVM Status</t>
  </si>
  <si>
    <t xml:space="preserve">Operations Center Operator</t>
  </si>
  <si>
    <t xml:space="preserve">Receive heartbeats and alerts and see which TVMs or payment channels are unavailable.</t>
  </si>
  <si>
    <t xml:space="preserve">Manage Fares and Destinations</t>
  </si>
  <si>
    <t xml:space="preserve">Administrator</t>
  </si>
  <si>
    <t xml:space="preserve">Maintain destinations, ticket types and fares and distribute them to the TVMs.</t>
  </si>
  <si>
    <t xml:space="preserve">FR20</t>
  </si>
  <si>
    <t xml:space="preserve">Reconcile Transactions</t>
  </si>
  <si>
    <t xml:space="preserve">Finance Officer</t>
  </si>
  <si>
    <t xml:space="preserve">Compare TVM transactions with provider settlement files and review mismatches.</t>
  </si>
  <si>
    <t xml:space="preserve">FR17, FR22</t>
  </si>
  <si>
    <t xml:space="preserve">Track every deliverable. Percent complete is calculated from the status.</t>
  </si>
  <si>
    <t xml:space="preserve">Task</t>
  </si>
  <si>
    <t xml:space="preserve">Artifact</t>
  </si>
  <si>
    <t xml:space="preserve">Marks</t>
  </si>
  <si>
    <t xml:space="preserve">Tool</t>
  </si>
  <si>
    <t xml:space="preserve">File / link</t>
  </si>
  <si>
    <t xml:space="preserve">% complete</t>
  </si>
  <si>
    <t xml:space="preserve">1</t>
  </si>
  <si>
    <t xml:space="preserve">Clarification Q&amp;A (Excel)</t>
  </si>
  <si>
    <t xml:space="preserve">Excel</t>
  </si>
  <si>
    <t xml:space="preserve">This workbook, Clarification Q&amp;A sheet; report 2.1</t>
  </si>
  <si>
    <t xml:space="preserve">Done</t>
  </si>
  <si>
    <t xml:space="preserve">2</t>
  </si>
  <si>
    <t xml:space="preserve">Requirements Specification</t>
  </si>
  <si>
    <t xml:space="preserve">Excel / Word</t>
  </si>
  <si>
    <t xml:space="preserve">This workbook, Requirements sheet; report 2.2</t>
  </si>
  <si>
    <t xml:space="preserve">3</t>
  </si>
  <si>
    <t xml:space="preserve">Use case diagram</t>
  </si>
  <si>
    <t xml:space="preserve">Report 3.1.1</t>
  </si>
  <si>
    <t xml:space="preserve">Use case descriptions</t>
  </si>
  <si>
    <t xml:space="preserve">Report 3.1.3</t>
  </si>
  <si>
    <t xml:space="preserve">4</t>
  </si>
  <si>
    <t xml:space="preserve">Activity diagram: buy a ticket</t>
  </si>
  <si>
    <t xml:space="preserve">Report 3.2.1</t>
  </si>
  <si>
    <t xml:space="preserve">Activity diagram: payment gateways</t>
  </si>
  <si>
    <t xml:space="preserve">Report 3.2.2</t>
  </si>
  <si>
    <t xml:space="preserve">5</t>
  </si>
  <si>
    <t xml:space="preserve">Sequence diagram</t>
  </si>
  <si>
    <t xml:space="preserve">Report 3.3.1</t>
  </si>
  <si>
    <t xml:space="preserve">State chart diagram</t>
  </si>
  <si>
    <t xml:space="preserve">Report 3.3.2</t>
  </si>
  <si>
    <t xml:space="preserve">Class diagram</t>
  </si>
  <si>
    <t xml:space="preserve">Visual Studio</t>
  </si>
  <si>
    <t xml:space="preserve">Report 3.3.3</t>
  </si>
  <si>
    <t xml:space="preserve">6</t>
  </si>
  <si>
    <t xml:space="preserve">UI/UX wireframes or mockups</t>
  </si>
  <si>
    <t xml:space="preserve">Figma</t>
  </si>
  <si>
    <t xml:space="preserve">https://www.figma.com/make/cpd1VhfymogiWUdNunS68w/Create-a-New-App?t=ycoktueirSDFqjfx-1</t>
  </si>
  <si>
    <t xml:space="preserve">7</t>
  </si>
  <si>
    <t xml:space="preserve">Architecture diagram</t>
  </si>
  <si>
    <t xml:space="preserve">Report 4.2.1</t>
  </si>
  <si>
    <t xml:space="preserve">Deployment diagram</t>
  </si>
  <si>
    <t xml:space="preserve">Report 4.2.2</t>
  </si>
  <si>
    <t xml:space="preserve">8</t>
  </si>
  <si>
    <t xml:space="preserve">VS forward engineering (model to code)</t>
  </si>
  <si>
    <t xml:space="preserve">Report 5.1.1</t>
  </si>
  <si>
    <t xml:space="preserve">VS backward engineering (code to model)</t>
  </si>
  <si>
    <t xml:space="preserve">Report 5.1.2</t>
  </si>
  <si>
    <t xml:space="preserve">VS Code Map</t>
  </si>
  <si>
    <t xml:space="preserve">Report 5.1.3 (picture generated by Gemini; VS Code Map not available)</t>
  </si>
  <si>
    <t xml:space="preserve">Draft</t>
  </si>
  <si>
    <t xml:space="preserve">9</t>
  </si>
  <si>
    <t xml:space="preserve">GitHub repository with collaboration history</t>
  </si>
  <si>
    <t xml:space="preserve">GitHub</t>
  </si>
  <si>
    <t xml:space="preserve">Copilot prompt documentation</t>
  </si>
  <si>
    <t xml:space="preserve">GitHub Copilot</t>
  </si>
  <si>
    <t xml:space="preserve">Report 5.2.2; AI Prompt Log sheet</t>
  </si>
  <si>
    <t xml:space="preserve">10</t>
  </si>
  <si>
    <t xml:space="preserve">Demo: C# and MSSQL input form</t>
  </si>
  <si>
    <t xml:space="preserve">C# .NET 10 WinForms, MSSQL</t>
  </si>
  <si>
    <t xml:space="preserve">Report 5.3; TvmTicketing project in repository</t>
  </si>
  <si>
    <t xml:space="preserve">Demo: output report or success screen</t>
  </si>
  <si>
    <t xml:space="preserve">C# .NET 10 WinForms</t>
  </si>
  <si>
    <t xml:space="preserve">Report 5.3</t>
  </si>
  <si>
    <t xml:space="preserve">Demo: database script and run instructions</t>
  </si>
  <si>
    <t xml:space="preserve">MSSQL</t>
  </si>
  <si>
    <t xml:space="preserve">TvmTicketing/Database/MetroGo_MSSQL_Setup.sql; Report 5.3</t>
  </si>
  <si>
    <t xml:space="preserve">Report .docx</t>
  </si>
  <si>
    <t xml:space="preserve">Word</t>
  </si>
  <si>
    <t xml:space="preserve">readme.txt</t>
  </si>
  <si>
    <t xml:space="preserve">Report Appendix A</t>
  </si>
  <si>
    <t xml:space="preserve">% contribution of each member</t>
  </si>
  <si>
    <t xml:space="preserve">Report section 7</t>
  </si>
  <si>
    <t xml:space="preserve">Overall progress</t>
  </si>
  <si>
    <t xml:space="preserve">Artifacts done</t>
  </si>
  <si>
    <t xml:space="preserve">Marks column shows the weight of each task of the assignment (split across its artifacts for tracking only).</t>
  </si>
  <si>
    <t xml:space="preserve">Model Consistency Check</t>
  </si>
  <si>
    <t xml:space="preserve">Diagrams must be syntactically correct, logically sound and aligned with each other.</t>
  </si>
  <si>
    <t xml:space="preserve">#</t>
  </si>
  <si>
    <t xml:space="preserve">Diagrams involved</t>
  </si>
  <si>
    <t xml:space="preserve">Student</t>
  </si>
  <si>
    <t xml:space="preserve">Lecturer</t>
  </si>
  <si>
    <t xml:space="preserve">Notes</t>
  </si>
  <si>
    <t xml:space="preserve">Every use case in the diagram has a description, and every description is in the diagram</t>
  </si>
  <si>
    <t xml:space="preserve">Use case diagram / descriptions</t>
  </si>
  <si>
    <t xml:space="preserve">Ticked in report section 3.4</t>
  </si>
  <si>
    <t xml:space="preserve">Every step of the main flow appears in the activity diagram</t>
  </si>
  <si>
    <t xml:space="preserve">Descriptions / activity</t>
  </si>
  <si>
    <t xml:space="preserve">Objects and messages in the sequence diagram exist as classes and methods in the class diagram</t>
  </si>
  <si>
    <t xml:space="preserve">Sequence / class</t>
  </si>
  <si>
    <t xml:space="preserve">State names and transitions match the events in the sequence diagram</t>
  </si>
  <si>
    <t xml:space="preserve">State chart / sequence</t>
  </si>
  <si>
    <t xml:space="preserve">Payment gateway steps match between both activity diagrams and the sequence diagram</t>
  </si>
  <si>
    <t xml:space="preserve">Activity / sequence</t>
  </si>
  <si>
    <t xml:space="preserve">Requirement IDs are cited in the use cases</t>
  </si>
  <si>
    <t xml:space="preserve">Requirements / use cases</t>
  </si>
  <si>
    <t xml:space="preserve">The class diagram matches the C# code from forward and backward engineering</t>
  </si>
  <si>
    <t xml:space="preserve">Class / code</t>
  </si>
  <si>
    <t xml:space="preserve">The UI screens match the steps of the main flow</t>
  </si>
  <si>
    <t xml:space="preserve">Wireframes / descriptions</t>
  </si>
  <si>
    <t xml:space="preserve">The architecture and deployment diagrams show the same components</t>
  </si>
  <si>
    <t xml:space="preserve">Architecture / deployment</t>
  </si>
  <si>
    <t xml:space="preserve">UML notation is correct (arrows, multiplicities, guards, swim lanes)</t>
  </si>
  <si>
    <t xml:space="preserve">All diagrams</t>
  </si>
  <si>
    <t xml:space="preserve">AI Prompt Log (Task 9)</t>
  </si>
  <si>
    <t xml:space="preserve">Document each prompt to GitHub Copilot (or a similar tool), how it helped, and how you validated the generated code.</t>
  </si>
  <si>
    <t xml:space="preserve">No.</t>
  </si>
  <si>
    <t xml:space="preserve">Date</t>
  </si>
  <si>
    <t xml:space="preserve">Task / artifact</t>
  </si>
  <si>
    <t xml:space="preserve">Prompt used</t>
  </si>
  <si>
    <t xml:space="preserve">How the AI helped (boilerplate / logic / explanation)</t>
  </si>
  <si>
    <t xml:space="preserve">Output used?</t>
  </si>
  <si>
    <t xml:space="preserve">How we validated it (tests, code review, run)</t>
  </si>
  <si>
    <t xml:space="preserve">TicketController (C# controller)</t>
  </si>
  <si>
    <t xml:space="preserve">Implement C# TicketController with StartTransaction, CalculateFare, and CompleteSale methods coordinating printer and payment services</t>
  </si>
  <si>
    <t xml:space="preserve">Generated state-aware controller skeleton and transaction lifecycle methods</t>
  </si>
  <si>
    <t xml:space="preserve">Kept</t>
  </si>
  <si>
    <t xml:space="preserve">Verified against sequence diagram (3.3.1) and state transitions (3.3.2)</t>
  </si>
  <si>
    <t xml:space="preserve">Code 128 barcode drawing (GDI+)</t>
  </si>
  <si>
    <t xml:space="preserve">Write a WinForms GDI+ method to draw Code 128 barcode bars dynamically using DrawRectangle given a string ticket number</t>
  </si>
  <si>
    <t xml:space="preserve">Generated procedural bar-and-gap drawing loop with modulo-based sizing</t>
  </si>
  <si>
    <t xml:space="preserve">Changed</t>
  </si>
  <si>
    <t xml:space="preserve">Tested barcode readability with scanner app and verified against ISO/IEC 15417 Change made: tuned bar width scaling and margins for kiosk card.</t>
  </si>
  <si>
    <t xml:space="preserve">TransactionRepository (MSSQL MERGE, offline fallback)</t>
  </si>
  <si>
    <t xml:space="preserve">Generate T-SQL MERGE statements in TransactionRepository to upsert Transactions and Payments into MSSQL LocalDB with automatic in-memory fallback when offline.</t>
  </si>
  <si>
    <t xml:space="preserve">Produced parameterized SqlCommand MERGE queries and try-catch fallback logic for NFR4 offline buffering.</t>
  </si>
  <si>
    <t xml:space="preserve">Tested both with (localdb)\MSSQLLocalDB running and with the SQL service stopped to verify NFR4 resilience. Change made: added SqlConnectionStringBuilder master DB check to auto-create MetroGoTVM if missing.</t>
  </si>
  <si>
    <t xml:space="preserve">WinForms custom controls (RoundedCardPanel, MetroButton)</t>
  </si>
  <si>
    <t xml:space="preserve">Create a custom WinForms RoundedCardPanel and MetroButton using GraphicsPath anti-aliased arcs to match the Figma light-slate kiosk theme.</t>
  </si>
  <si>
    <t xml:space="preserve">Generated reusable GDI+ rounded-rectangle path helpers and hover state overrides.</t>
  </si>
  <si>
    <t xml:space="preserve">Compared rendered WinForms screens side-by-side against Figma frames S01–S07 to ensure pixel-accuracy.</t>
  </si>
  <si>
    <t xml:space="preserve">Refund on print failure (UC08)</t>
  </si>
  <si>
    <t xml:space="preserve">Implement PaymentService.RequestRefund and TicketController.HandlePrintFailure to trigger automatic refund when TicketPrinter.Status is Jammed or PaperOut.</t>
  </si>
  <si>
    <t xml:space="preserve">Created the error-handling branch in CompleteSale() that marks the transaction RefundPending and logs a refund reference.</t>
  </si>
  <si>
    <t xml:space="preserve">Triggered "Simulate Print Jam (UC08)" in the demo app and verified the refund entry in the Daily Reconciliation tab.</t>
  </si>
  <si>
    <t xml:space="preserve">QR matrix renderer (GDI+)</t>
  </si>
  <si>
    <t xml:space="preserve">Write a procedural QR matrix renderer in GDI+ with three 7x7 finder patterns and deterministic hash modules seeded by the transaction code.</t>
  </si>
  <si>
    <t xml:space="preserve">Provided the DrawFinder helper and deterministic grid loop for VietQR and wallet QR previews.</t>
  </si>
  <si>
    <t xml:space="preserve">Verified that switching between MoMo, ZaloPay, VNPay, and VietQR generates distinct QR matrices per transaction ID. Change made: adjusted module sizing to fit the 220x232 payment card.</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</si>
  <si>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</si>
  <si>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</si>
  <si>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</si>
  <si>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</si>
  <si>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</si>
  <si>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</si>
  <si>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</si>
  <si>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</si>
  <si>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</si>
  <si>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</si>
  <si>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</si>
  <si>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</si>
  <si>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</si>
  <si>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</si>
  <si>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</si>
  <si>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</si>
  <si>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</si>
  <si>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</si>
  <si>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</si>
  <si>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</si>
  <si>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</si>
  <si>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</si>
  <si>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</si>
  <si>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</si>
  <si>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</si>
  <si>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</si>
  <si>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</si>
  <si>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</si>
  <si>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</si>
  <si>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</si>
  <si>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Rejected</t>
  </si>
  <si>
    <t xml:space="preserve">Used without validation</t>
  </si>
  <si>
    <t xml:space="preserve">Every AI output you keep or change must have a validation. The red counter shows prompts with a decision but no validation.</t>
  </si>
  <si>
    <t xml:space="preserve">Commit and Pull Request Log</t>
  </si>
  <si>
    <t xml:space="preserve">Record the evidence of collaboration each week. Use the Student ID exactly as in the Team sheet.</t>
  </si>
  <si>
    <t xml:space="preserve">Week</t>
  </si>
  <si>
    <t xml:space="preserve">Branch</t>
  </si>
  <si>
    <t xml:space="preserve">Commits</t>
  </si>
  <si>
    <t xml:space="preserve">Pull requests</t>
  </si>
  <si>
    <t xml:space="preserve">What was done / link</t>
  </si>
  <si>
    <t xml:space="preserve">Weekly Progress Log</t>
  </si>
  <si>
    <t xml:space="preserve">Fill in at the end of each lab week. Adjust the planned work to your own schedule.</t>
  </si>
  <si>
    <t xml:space="preserve">Checkpoint</t>
  </si>
  <si>
    <t xml:space="preserve">Planned for this week</t>
  </si>
  <si>
    <t xml:space="preserve">What we actually did</t>
  </si>
  <si>
    <t xml:space="preserve">Evidence (commit / PR / screenshot link)</t>
  </si>
  <si>
    <t xml:space="preserve">Blockers and help needed</t>
  </si>
  <si>
    <t xml:space="preserve">Status (team)</t>
  </si>
  <si>
    <t xml:space="preserve">Lecturer feedback</t>
  </si>
  <si>
    <t xml:space="preserve">Read the assignment, form the team, set up GitHub, start Clarification Q&amp;A</t>
  </si>
  <si>
    <t xml:space="preserve">Week 2</t>
  </si>
  <si>
    <t xml:space="preserve">Requirements specification (FR, NFR with metrics, domain)</t>
  </si>
  <si>
    <t xml:space="preserve">Week 3</t>
  </si>
  <si>
    <t xml:space="preserve">Use case model and activity diagrams</t>
  </si>
  <si>
    <t xml:space="preserve">Week 4</t>
  </si>
  <si>
    <t xml:space="preserve">Sequence, state chart, class diagram; wireframes; architecture</t>
  </si>
  <si>
    <t xml:space="preserve">Week 5</t>
  </si>
  <si>
    <t xml:space="preserve">Forward and backward engineering, Code Map; demo application</t>
  </si>
  <si>
    <t xml:space="preserve">Week 6</t>
  </si>
  <si>
    <t xml:space="preserve">Finish demo, report, readme.txt, self-marking</t>
  </si>
  <si>
    <t xml:space="preserve">Checkpoints met</t>
  </si>
  <si>
    <t xml:space="preserve">Update this sheet at the end of every lab week. A short, honest record earns the process mark; a blank log does not.</t>
  </si>
  <si>
    <t xml:space="preserve">Marking: Self and Lecturer</t>
  </si>
  <si>
    <t xml:space="preserve">Enter marks out of each task's Max. Yellow = student self-mark, green = lecturer mark.</t>
  </si>
  <si>
    <t xml:space="preserve">Max (marks)</t>
  </si>
  <si>
    <t xml:space="preserve">What to check for full marks</t>
  </si>
  <si>
    <t xml:space="preserve">Student self-mark</t>
  </si>
  <si>
    <t xml:space="preserve">Lecturer mark</t>
  </si>
  <si>
    <t xml:space="preserve">Difference (self − lecturer)</t>
  </si>
  <si>
    <t xml:space="preserve">Student justification / evidence</t>
  </si>
  <si>
    <t xml:space="preserve">Lecturer comments</t>
  </si>
  <si>
    <t xml:space="preserve">Thorough questions uncovering hidden complexity, each with a logical assumed answer and a requirement link.</t>
  </si>
  <si>
    <t xml:space="preserve">Functional, non-functional and domain requirements with IDs. Strict, measurable reliability and response-time limits.</t>
  </si>
  <si>
    <t xml:space="preserve">Use Case Modeling</t>
  </si>
  <si>
    <t xml:space="preserve">Correct use case diagram and a detailed description for every use case.</t>
  </si>
  <si>
    <t xml:space="preserve">Activity Diagrams</t>
  </si>
  <si>
    <t xml:space="preserve">Buy-a-ticket flow with failures, and a separate payment gateway integration diagram.</t>
  </si>
  <si>
    <t xml:space="preserve">Detailed System Modeling: Buy a Ticket</t>
  </si>
  <si>
    <t xml:space="preserve">Sequence, state chart and class diagram: correct, logical and aligned with each other.</t>
  </si>
  <si>
    <t xml:space="preserve">UI/UX Design</t>
  </si>
  <si>
    <t xml:space="preserve">Modern, intuitive wireframes or mockups for the TVM screens.</t>
  </si>
  <si>
    <t xml:space="preserve">Architectural Design</t>
  </si>
  <si>
    <t xml:space="preserve">Logical, modular architecture (MVC or system-in-a-box) suited to the hardware; deployment diagram with API context.</t>
  </si>
  <si>
    <t xml:space="preserve">Visual Studio Engineering</t>
  </si>
  <si>
    <t xml:space="preserve">Forward engineering, backward engineering and a Code Map, all shown and explained.</t>
  </si>
  <si>
    <t xml:space="preserve">GitHub &amp; AI Tooling (Copilot)</t>
  </si>
  <si>
    <t xml:space="preserve">Rich commit history from all members; Copilot prompts documented with validation of the output.</t>
  </si>
  <si>
    <t xml:space="preserve">Demo Application (C# and MSSQL)</t>
  </si>
  <si>
    <t xml:space="preserve">Runs smoothly: input form and output report or success screen for the ticket buying flow.</t>
  </si>
  <si>
    <t xml:space="preserve">Total (/100)</t>
  </si>
  <si>
    <t xml:space="preserve">A red difference means self-mark and lecturer mark differ by more than 20% of the task's Max: discuss it in the feedback session.</t>
  </si>
  <si>
    <t xml:space="preserve">Group Summary and Results</t>
  </si>
  <si>
    <t xml:space="preserve">Results are calculated from the Marking sheet.</t>
  </si>
  <si>
    <t xml:space="preserve">Weight of this assignment in QT2</t>
  </si>
  <si>
    <t xml:space="preserve">Marked by / date</t>
  </si>
  <si>
    <t xml:space="preserve">Group results</t>
  </si>
  <si>
    <t xml:space="preserve">Measure</t>
  </si>
  <si>
    <t xml:space="preserve">Student self-marking</t>
  </si>
  <si>
    <t xml:space="preserve">Difference</t>
  </si>
  <si>
    <t xml:space="preserve">Contribution to QT2 (points)</t>
  </si>
  <si>
    <t xml:space="preserve">Bonus point toward the Final Project (lecturer, 0 or 1)</t>
  </si>
  <si>
    <t xml:space="preserve">Individual marks</t>
  </si>
  <si>
    <t xml:space="preserve">Lecturer adjustment factor (0.70-1.00, blank = 1)</t>
  </si>
  <si>
    <t xml:space="preserve">Individual mark (/100)</t>
  </si>
  <si>
    <t xml:space="preserve">Individual QT2 points</t>
  </si>
  <si>
    <t xml:space="preserve">The factor is reduced below 1.00 only when the evidence (Git history, pull requests, progress log, individual questions) shows a clearly smaller contribution.</t>
  </si>
  <si>
    <t xml:space="preserve">Comments</t>
  </si>
  <si>
    <t xml:space="preserve">Student reflection (optional)</t>
  </si>
</sst>
</file>

<file path=xl/styles.xml><?xml version="1.0" encoding="utf-8"?>
<styleSheet xmlns="http://schemas.openxmlformats.org/spreadsheetml/2006/main">
  <numFmts count="7">
    <numFmt numFmtId="164" formatCode="General"/>
    <numFmt numFmtId="165" formatCode="General"/>
    <numFmt numFmtId="166" formatCode="0%"/>
    <numFmt numFmtId="167" formatCode="0"/>
    <numFmt numFmtId="168" formatCode="0.0"/>
    <numFmt numFmtId="169" formatCode="\+0.0;\-0.0;0.0"/>
    <numFmt numFmtId="170" formatCode="0.00"/>
  </numFmts>
  <fonts count="12">
    <font>
      <sz val="11"/>
      <color theme="1"/>
      <name val="Calibri"/>
      <family val="2"/>
      <charset val="1"/>
    </font>
    <font>
      <sz val="10"/>
      <name val="Arial"/>
      <family val="0"/>
    </font>
    <font>
      <sz val="10"/>
      <name val="Arial"/>
      <family val="0"/>
    </font>
    <font>
      <sz val="10"/>
      <name val="Arial"/>
      <family val="0"/>
    </font>
    <font>
      <b val="true"/>
      <sz val="15"/>
      <color rgb="FF1F3A5F"/>
      <name val="Arial"/>
      <family val="0"/>
      <charset val="1"/>
    </font>
    <font>
      <i val="true"/>
      <sz val="10"/>
      <color rgb="FF595959"/>
      <name val="Arial"/>
      <family val="0"/>
      <charset val="1"/>
    </font>
    <font>
      <b val="true"/>
      <sz val="12"/>
      <color rgb="FF1F3A5F"/>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b val="true"/>
      <sz val="10"/>
      <color rgb="FF000000"/>
      <name val="Arial"/>
      <family val="0"/>
      <charset val="1"/>
    </font>
    <font>
      <i val="true"/>
      <sz val="9"/>
      <color rgb="FF595959"/>
      <name val="Arial"/>
      <family val="0"/>
      <charset val="1"/>
    </font>
  </fonts>
  <fills count="8">
    <fill>
      <patternFill patternType="none"/>
    </fill>
    <fill>
      <patternFill patternType="gray125"/>
    </fill>
    <fill>
      <patternFill patternType="solid">
        <fgColor rgb="FFFFF4CC"/>
        <bgColor rgb="FFFDE2E2"/>
      </patternFill>
    </fill>
    <fill>
      <patternFill patternType="solid">
        <fgColor rgb="FFDDF0DF"/>
        <bgColor rgb="FFC6EFCE"/>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2">
    <border diagonalUp="false" diagonalDown="false">
      <left/>
      <right/>
      <top/>
      <bottom/>
      <diagonal/>
    </border>
    <border diagonalUp="false" diagonalDown="false">
      <left style="thin">
        <color rgb="FFB7C3D3"/>
      </left>
      <right style="thin">
        <color rgb="FFB7C3D3"/>
      </right>
      <top style="thin">
        <color rgb="FFB7C3D3"/>
      </top>
      <bottom style="thin">
        <color rgb="FFB7C3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6" fontId="8" fillId="2" borderId="1" xfId="0" applyFont="true" applyBorder="true" applyAlignment="true" applyProtection="false">
      <alignment horizontal="center" vertical="center" textRotation="0" wrapText="true" indent="0" shrinkToFit="false"/>
      <protection locked="true" hidden="false"/>
    </xf>
    <xf numFmtId="166" fontId="10" fillId="5"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8" fontId="8" fillId="2" borderId="1" xfId="0" applyFont="true" applyBorder="true" applyAlignment="true" applyProtection="false">
      <alignment horizontal="center" vertical="center" textRotation="0" wrapText="true" indent="0" shrinkToFit="false"/>
      <protection locked="true" hidden="false"/>
    </xf>
    <xf numFmtId="168" fontId="8" fillId="3"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8" fontId="10" fillId="5" borderId="1" xfId="0" applyFont="true" applyBorder="true" applyAlignment="true" applyProtection="false">
      <alignment horizontal="center" vertical="center" textRotation="0" wrapText="true" indent="0" shrinkToFit="false"/>
      <protection locked="true" hidden="false"/>
    </xf>
    <xf numFmtId="169" fontId="10" fillId="5"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70" fontId="8" fillId="3" borderId="1" xfId="0" applyFont="true" applyBorder="true" applyAlignment="true" applyProtection="false">
      <alignment horizontal="center" vertical="center" textRotation="0" wrapText="true" indent="0" shrinkToFit="false"/>
      <protection locked="true" hidden="false"/>
    </xf>
    <xf numFmtId="170" fontId="10" fillId="0" borderId="1" xfId="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FDE2E2"/>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false" showRowColHeaders="true" showZeros="true" rightToLeft="false" tabSelected="false" showOutlineSymbols="true" defaultGridColor="true" view="normal" topLeftCell="A1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52"/>
    <col collapsed="false" customWidth="true" hidden="false" outlineLevel="0" max="4" min="4" style="0" width="28"/>
  </cols>
  <sheetData>
    <row r="1" customFormat="false" ht="19.5" hidden="false" customHeight="true" outlineLevel="0" collapsed="false">
      <c r="A1" s="1" t="s">
        <v>0</v>
      </c>
    </row>
    <row r="2" customFormat="false" ht="15" hidden="false" customHeight="false" outlineLevel="0" collapsed="false">
      <c r="A2" s="2" t="s">
        <v>1</v>
      </c>
    </row>
    <row r="4" customFormat="false" ht="15.75" hidden="false" customHeight="true" outlineLevel="0" collapsed="false">
      <c r="A4" s="3" t="s">
        <v>2</v>
      </c>
    </row>
    <row r="5" customFormat="false" ht="63.75" hidden="false" customHeight="true" outlineLevel="0" collapsed="false">
      <c r="A5" s="4" t="s">
        <v>3</v>
      </c>
      <c r="B5" s="4"/>
      <c r="C5" s="4"/>
      <c r="D5" s="4"/>
    </row>
    <row r="7" customFormat="false" ht="15.75" hidden="false" customHeight="true" outlineLevel="0" collapsed="false">
      <c r="A7" s="3" t="s">
        <v>4</v>
      </c>
    </row>
    <row r="8" customFormat="false" ht="31.5" hidden="false" customHeight="true" outlineLevel="0" collapsed="false">
      <c r="A8" s="4" t="s">
        <v>5</v>
      </c>
      <c r="B8" s="4"/>
      <c r="C8" s="4"/>
      <c r="D8" s="4"/>
    </row>
    <row r="9" customFormat="false" ht="31.5" hidden="false" customHeight="true" outlineLevel="0" collapsed="false">
      <c r="A9" s="4" t="s">
        <v>6</v>
      </c>
      <c r="B9" s="4"/>
      <c r="C9" s="4"/>
      <c r="D9" s="4"/>
    </row>
    <row r="10" customFormat="false" ht="31.5" hidden="false" customHeight="true" outlineLevel="0" collapsed="false">
      <c r="A10" s="4" t="s">
        <v>7</v>
      </c>
      <c r="B10" s="4"/>
      <c r="C10" s="4"/>
      <c r="D10" s="4"/>
    </row>
    <row r="11" customFormat="false" ht="31.5" hidden="false" customHeight="true" outlineLevel="0" collapsed="false">
      <c r="A11" s="4" t="s">
        <v>8</v>
      </c>
      <c r="B11" s="4"/>
      <c r="C11" s="4"/>
      <c r="D11" s="4"/>
    </row>
    <row r="13" customFormat="false" ht="15.75" hidden="false" customHeight="true" outlineLevel="0" collapsed="false">
      <c r="A13" s="3" t="s">
        <v>9</v>
      </c>
    </row>
    <row r="14" customFormat="false" ht="15" hidden="false" customHeight="false" outlineLevel="0" collapsed="false">
      <c r="A14" s="5" t="s">
        <v>10</v>
      </c>
      <c r="B14" s="6" t="s">
        <v>11</v>
      </c>
    </row>
    <row r="15" customFormat="false" ht="15" hidden="false" customHeight="false" outlineLevel="0" collapsed="false">
      <c r="A15" s="7" t="s">
        <v>12</v>
      </c>
      <c r="B15" s="6" t="s">
        <v>13</v>
      </c>
    </row>
    <row r="16" customFormat="false" ht="15" hidden="false" customHeight="false" outlineLevel="0" collapsed="false">
      <c r="A16" s="6" t="s">
        <v>14</v>
      </c>
      <c r="B16" s="6" t="s">
        <v>15</v>
      </c>
    </row>
    <row r="18" customFormat="false" ht="15.75" hidden="false" customHeight="true" outlineLevel="0" collapsed="false">
      <c r="A18" s="3" t="s">
        <v>16</v>
      </c>
    </row>
    <row r="19" customFormat="false" ht="15" hidden="false" customHeight="false" outlineLevel="0" collapsed="false">
      <c r="A19" s="8" t="s">
        <v>17</v>
      </c>
      <c r="B19" s="8" t="s">
        <v>18</v>
      </c>
      <c r="C19" s="8" t="s">
        <v>19</v>
      </c>
      <c r="D19" s="8" t="s">
        <v>20</v>
      </c>
    </row>
    <row r="20" customFormat="false" ht="31.5" hidden="false" customHeight="true" outlineLevel="0" collapsed="false">
      <c r="A20" s="9" t="s">
        <v>21</v>
      </c>
      <c r="B20" s="6" t="s">
        <v>22</v>
      </c>
      <c r="C20" s="6" t="s">
        <v>23</v>
      </c>
      <c r="D20" s="6" t="s">
        <v>24</v>
      </c>
    </row>
    <row r="21" customFormat="false" ht="31.5" hidden="false" customHeight="true" outlineLevel="0" collapsed="false">
      <c r="A21" s="9" t="s">
        <v>25</v>
      </c>
      <c r="B21" s="6" t="s">
        <v>26</v>
      </c>
      <c r="C21" s="6" t="s">
        <v>27</v>
      </c>
      <c r="D21" s="6" t="s">
        <v>28</v>
      </c>
    </row>
    <row r="22" customFormat="false" ht="31.5" hidden="false" customHeight="true" outlineLevel="0" collapsed="false">
      <c r="A22" s="9" t="s">
        <v>29</v>
      </c>
      <c r="B22" s="6" t="s">
        <v>30</v>
      </c>
      <c r="C22" s="6" t="s">
        <v>31</v>
      </c>
      <c r="D22" s="6" t="s">
        <v>32</v>
      </c>
    </row>
    <row r="23" customFormat="false" ht="31.5" hidden="false" customHeight="true" outlineLevel="0" collapsed="false">
      <c r="A23" s="9" t="s">
        <v>33</v>
      </c>
      <c r="B23" s="6" t="s">
        <v>34</v>
      </c>
      <c r="C23" s="6" t="s">
        <v>35</v>
      </c>
      <c r="D23" s="6" t="s">
        <v>36</v>
      </c>
    </row>
    <row r="24" customFormat="false" ht="31.5" hidden="false" customHeight="true" outlineLevel="0" collapsed="false">
      <c r="A24" s="9" t="s">
        <v>37</v>
      </c>
      <c r="B24" s="6" t="s">
        <v>38</v>
      </c>
      <c r="C24" s="6" t="s">
        <v>39</v>
      </c>
      <c r="D24" s="6" t="s">
        <v>40</v>
      </c>
    </row>
    <row r="25" customFormat="false" ht="31.5" hidden="false" customHeight="true" outlineLevel="0" collapsed="false">
      <c r="A25" s="9" t="s">
        <v>41</v>
      </c>
      <c r="B25" s="6" t="s">
        <v>42</v>
      </c>
      <c r="C25" s="6" t="s">
        <v>43</v>
      </c>
      <c r="D25" s="6" t="s">
        <v>44</v>
      </c>
    </row>
    <row r="26" customFormat="false" ht="31.5" hidden="false" customHeight="true" outlineLevel="0" collapsed="false">
      <c r="A26" s="9" t="s">
        <v>45</v>
      </c>
      <c r="B26" s="6" t="s">
        <v>46</v>
      </c>
      <c r="C26" s="6" t="s">
        <v>47</v>
      </c>
      <c r="D26" s="6" t="s">
        <v>40</v>
      </c>
    </row>
    <row r="27" customFormat="false" ht="31.5" hidden="false" customHeight="true" outlineLevel="0" collapsed="false">
      <c r="A27" s="9" t="s">
        <v>48</v>
      </c>
      <c r="B27" s="6" t="s">
        <v>49</v>
      </c>
      <c r="C27" s="6" t="s">
        <v>50</v>
      </c>
      <c r="D27" s="6" t="s">
        <v>51</v>
      </c>
    </row>
    <row r="28" customFormat="false" ht="31.5" hidden="false" customHeight="true" outlineLevel="0" collapsed="false">
      <c r="A28" s="9" t="s">
        <v>52</v>
      </c>
      <c r="B28" s="6" t="s">
        <v>53</v>
      </c>
      <c r="C28" s="6" t="s">
        <v>54</v>
      </c>
      <c r="D28" s="6" t="s">
        <v>51</v>
      </c>
    </row>
    <row r="29" customFormat="false" ht="31.5" hidden="false" customHeight="true" outlineLevel="0" collapsed="false">
      <c r="A29" s="9" t="s">
        <v>55</v>
      </c>
      <c r="B29" s="6" t="s">
        <v>56</v>
      </c>
      <c r="C29" s="6" t="s">
        <v>57</v>
      </c>
      <c r="D29" s="6" t="s">
        <v>58</v>
      </c>
    </row>
    <row r="30" customFormat="false" ht="31.5" hidden="false" customHeight="true" outlineLevel="0" collapsed="false">
      <c r="A30" s="9" t="s">
        <v>59</v>
      </c>
      <c r="B30" s="6" t="s">
        <v>60</v>
      </c>
      <c r="C30" s="6" t="s">
        <v>57</v>
      </c>
      <c r="D30" s="6" t="s">
        <v>58</v>
      </c>
    </row>
  </sheetData>
  <mergeCells count="5">
    <mergeCell ref="A5:D5"/>
    <mergeCell ref="A8:D8"/>
    <mergeCell ref="A9:D9"/>
    <mergeCell ref="A10:D10"/>
    <mergeCell ref="A11:D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6"/>
    <col collapsed="false" customWidth="true" hidden="false" outlineLevel="0" max="4" min="4" style="0" width="30"/>
    <col collapsed="false" customWidth="true" hidden="false" outlineLevel="0" max="5" min="5" style="0" width="16"/>
    <col collapsed="false" customWidth="true" hidden="false" outlineLevel="0" max="6" min="6" style="0" width="14"/>
    <col collapsed="false" customWidth="true" hidden="false" outlineLevel="0" max="7" min="7" style="0" width="26"/>
  </cols>
  <sheetData>
    <row r="1" customFormat="false" ht="19.5" hidden="false" customHeight="true" outlineLevel="0" collapsed="false">
      <c r="A1" s="1" t="s">
        <v>61</v>
      </c>
    </row>
    <row r="2" customFormat="false" ht="15" hidden="false" customHeight="false" outlineLevel="0" collapsed="false">
      <c r="A2" s="2" t="s">
        <v>62</v>
      </c>
    </row>
    <row r="4" customFormat="false" ht="25.5" hidden="false" customHeight="true" outlineLevel="0" collapsed="false">
      <c r="A4" s="10" t="s">
        <v>63</v>
      </c>
      <c r="B4" s="5" t="s">
        <v>64</v>
      </c>
      <c r="C4" s="5"/>
    </row>
    <row r="5" customFormat="false" ht="15" hidden="false" customHeight="true" outlineLevel="0" collapsed="false">
      <c r="A5" s="10" t="s">
        <v>65</v>
      </c>
      <c r="B5" s="5" t="s">
        <v>66</v>
      </c>
      <c r="C5" s="5"/>
      <c r="D5" s="5"/>
    </row>
    <row r="6" customFormat="false" ht="15" hidden="false" customHeight="false" outlineLevel="0" collapsed="false">
      <c r="A6" s="10" t="s">
        <v>67</v>
      </c>
      <c r="B6" s="11" t="n">
        <f aca="false">COUNTA(C11:C15)</f>
        <v>3</v>
      </c>
    </row>
    <row r="7" customFormat="false" ht="15" hidden="false" customHeight="false" outlineLevel="0" collapsed="false">
      <c r="A7" s="10" t="s">
        <v>68</v>
      </c>
      <c r="B7" s="12" t="str">
        <f aca="false">IF(AND(B6&gt;=3,B6&lt;=5),"OK","Group must have 3 to 5 students")</f>
        <v>OK</v>
      </c>
      <c r="C7" s="12"/>
      <c r="D7" s="12"/>
    </row>
    <row r="9" customFormat="false" ht="15.75" hidden="false" customHeight="true" outlineLevel="0" collapsed="false">
      <c r="A9" s="3" t="s">
        <v>69</v>
      </c>
    </row>
    <row r="10" customFormat="false" ht="39.75" hidden="false" customHeight="true" outlineLevel="0" collapsed="false">
      <c r="A10" s="8" t="s">
        <v>70</v>
      </c>
      <c r="B10" s="13" t="s">
        <v>71</v>
      </c>
      <c r="C10" s="13" t="s">
        <v>72</v>
      </c>
      <c r="D10" s="13" t="s">
        <v>73</v>
      </c>
      <c r="E10" s="13" t="s">
        <v>74</v>
      </c>
      <c r="F10" s="8" t="s">
        <v>75</v>
      </c>
      <c r="G10" s="8" t="s">
        <v>76</v>
      </c>
    </row>
    <row r="11" customFormat="false" ht="46.25" hidden="false" customHeight="false" outlineLevel="0" collapsed="false">
      <c r="A11" s="10" t="s">
        <v>77</v>
      </c>
      <c r="B11" s="5" t="s">
        <v>78</v>
      </c>
      <c r="C11" s="5" t="s">
        <v>79</v>
      </c>
      <c r="D11" s="5" t="s">
        <v>80</v>
      </c>
      <c r="E11" s="14" t="n">
        <v>0.3</v>
      </c>
      <c r="F11" s="11" t="n">
        <f aca="false">IF(C11="","",SUMIF('Commit Log'!$C$5:$C$64,C11,'Commit Log'!$E$5:$E$64))</f>
        <v>0</v>
      </c>
      <c r="G11" s="12" t="str">
        <f aca="false">IF(C11="","",IF(AND(ISNUMBER(F11),F11&gt;0),"OK","No commits yet"))</f>
        <v>No commits yet</v>
      </c>
    </row>
    <row r="12" customFormat="false" ht="57.45" hidden="false" customHeight="false" outlineLevel="0" collapsed="false">
      <c r="A12" s="10" t="s">
        <v>81</v>
      </c>
      <c r="B12" s="5" t="s">
        <v>82</v>
      </c>
      <c r="C12" s="5" t="s">
        <v>83</v>
      </c>
      <c r="D12" s="5" t="s">
        <v>84</v>
      </c>
      <c r="E12" s="14" t="n">
        <v>0.4</v>
      </c>
      <c r="F12" s="11" t="n">
        <f aca="false">IF(C12="","",SUMIF('Commit Log'!$C$5:$C$64,C12,'Commit Log'!$E$5:$E$64))</f>
        <v>0</v>
      </c>
      <c r="G12" s="12" t="str">
        <f aca="false">IF(C12="","",IF(AND(ISNUMBER(F12),F12&gt;0),"OK","No commits yet"))</f>
        <v>No commits yet</v>
      </c>
    </row>
    <row r="13" customFormat="false" ht="57.45" hidden="false" customHeight="false" outlineLevel="0" collapsed="false">
      <c r="A13" s="10" t="s">
        <v>85</v>
      </c>
      <c r="B13" s="5" t="s">
        <v>86</v>
      </c>
      <c r="C13" s="5" t="s">
        <v>87</v>
      </c>
      <c r="D13" s="5" t="s">
        <v>88</v>
      </c>
      <c r="E13" s="14" t="n">
        <v>0.3</v>
      </c>
      <c r="F13" s="11" t="n">
        <f aca="false">IF(C13="","",SUMIF('Commit Log'!$C$5:$C$64,C13,'Commit Log'!$E$5:$E$64))</f>
        <v>0</v>
      </c>
      <c r="G13" s="12" t="str">
        <f aca="false">IF(C13="","",IF(AND(ISNUMBER(F13),F13&gt;0),"OK","No commits yet"))</f>
        <v>No commits yet</v>
      </c>
    </row>
    <row r="14" customFormat="false" ht="15" hidden="false" customHeight="false" outlineLevel="0" collapsed="false">
      <c r="A14" s="10" t="s">
        <v>89</v>
      </c>
      <c r="B14" s="5"/>
      <c r="C14" s="5"/>
      <c r="D14" s="5"/>
      <c r="E14" s="14"/>
      <c r="F14" s="11" t="str">
        <f aca="false">IF(C14="","",SUMIF('Commit Log'!$C$5:$C$64,C14,'Commit Log'!$E$5:$E$64))</f>
        <v/>
      </c>
      <c r="G14" s="12" t="str">
        <f aca="false">IF(C14="","",IF(AND(ISNUMBER(F14),F14&gt;0),"OK","No commits yet"))</f>
        <v/>
      </c>
    </row>
    <row r="15" customFormat="false" ht="15" hidden="false" customHeight="false" outlineLevel="0" collapsed="false">
      <c r="A15" s="10" t="s">
        <v>90</v>
      </c>
      <c r="B15" s="5"/>
      <c r="C15" s="5"/>
      <c r="D15" s="5"/>
      <c r="E15" s="14"/>
      <c r="F15" s="11" t="str">
        <f aca="false">IF(C15="","",SUMIF('Commit Log'!$C$5:$C$64,C15,'Commit Log'!$E$5:$E$64))</f>
        <v/>
      </c>
      <c r="G15" s="12" t="str">
        <f aca="false">IF(C15="","",IF(AND(ISNUMBER(F15),F15&gt;0),"OK","No commits yet"))</f>
        <v/>
      </c>
    </row>
    <row r="16" customFormat="false" ht="15" hidden="false" customHeight="false" outlineLevel="0" collapsed="false">
      <c r="D16" s="10" t="s">
        <v>91</v>
      </c>
      <c r="E16" s="15" t="n">
        <f aca="false">SUM(E11:E15)</f>
        <v>1</v>
      </c>
    </row>
    <row r="17" customFormat="false" ht="15" hidden="false" customHeight="false" outlineLevel="0" collapsed="false">
      <c r="D17" s="10" t="s">
        <v>76</v>
      </c>
      <c r="E17" s="12" t="str">
        <f aca="false">IF(ROUND(E16,4)=1,"OK","Must total 100%")</f>
        <v>OK</v>
      </c>
    </row>
    <row r="19" customFormat="false" ht="15" hidden="false" customHeight="false" outlineLevel="0" collapsed="false">
      <c r="A19" s="16" t="s">
        <v>92</v>
      </c>
    </row>
  </sheetData>
  <mergeCells count="3">
    <mergeCell ref="B4:C4"/>
    <mergeCell ref="B5:D5"/>
    <mergeCell ref="B7:D7"/>
  </mergeCells>
  <conditionalFormatting sqref="B7">
    <cfRule type="expression" priority="2" aboveAverage="0" equalAverage="0" bottom="0" percent="0" rank="0" text="" dxfId="0">
      <formula>B7&lt;&gt;"OK"</formula>
    </cfRule>
  </conditionalFormatting>
  <conditionalFormatting sqref="G11:G15">
    <cfRule type="expression" priority="3" aboveAverage="0" equalAverage="0" bottom="0" percent="0" rank="0" text="" dxfId="0">
      <formula>G11="No commits yet"</formula>
    </cfRule>
  </conditionalFormatting>
  <conditionalFormatting sqref="E17">
    <cfRule type="expression" priority="4" aboveAverage="0" equalAverage="0" bottom="0" percent="0" rank="0" text="" dxfId="0">
      <formula>E17&lt;&gt;"OK"</formula>
    </cfRule>
  </conditionalFormatting>
  <dataValidations count="1">
    <dataValidation allowBlank="true" error="Enter a percentage from 0% to 100%." errorStyle="stop" operator="between" showDropDown="false" showErrorMessage="true" showInputMessage="false" sqref="E11:E15"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10" activeCellId="0" sqref="D10"/>
    </sheetView>
  </sheetViews>
  <sheetFormatPr defaultColWidth="8.714843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36"/>
    <col collapsed="false" customWidth="true" hidden="false" outlineLevel="0" max="4" min="4" style="0" width="40"/>
    <col collapsed="false" customWidth="true" hidden="false" outlineLevel="0" max="5" min="5" style="0" width="16"/>
    <col collapsed="false" customWidth="true" hidden="false" outlineLevel="0" max="6" min="6" style="0" width="40"/>
    <col collapsed="false" customWidth="true" hidden="false" outlineLevel="0" max="7" min="7" style="0" width="34"/>
    <col collapsed="false" customWidth="true" hidden="false" outlineLevel="0" max="8" min="8" style="0" width="14"/>
    <col collapsed="false" customWidth="true" hidden="false" outlineLevel="0" max="9" min="9" style="0" width="12"/>
    <col collapsed="false" customWidth="true" hidden="false" outlineLevel="0" max="10" min="10" style="0" width="26"/>
  </cols>
  <sheetData>
    <row r="1" customFormat="false" ht="19.5" hidden="false" customHeight="true" outlineLevel="0" collapsed="false">
      <c r="A1" s="1" t="s">
        <v>93</v>
      </c>
    </row>
    <row r="2" customFormat="false" ht="15" hidden="false" customHeight="false" outlineLevel="0" collapsed="false">
      <c r="A2" s="2" t="s">
        <v>94</v>
      </c>
    </row>
    <row r="4" customFormat="false" ht="48" hidden="false" customHeight="true" outlineLevel="0" collapsed="false">
      <c r="A4" s="8" t="s">
        <v>95</v>
      </c>
      <c r="B4" s="13" t="s">
        <v>96</v>
      </c>
      <c r="C4" s="13" t="s">
        <v>97</v>
      </c>
      <c r="D4" s="13" t="s">
        <v>98</v>
      </c>
      <c r="E4" s="13" t="s">
        <v>99</v>
      </c>
      <c r="F4" s="13" t="s">
        <v>100</v>
      </c>
      <c r="G4" s="13" t="s">
        <v>101</v>
      </c>
      <c r="H4" s="13" t="s">
        <v>102</v>
      </c>
      <c r="I4" s="13" t="s">
        <v>103</v>
      </c>
      <c r="J4" s="17" t="s">
        <v>104</v>
      </c>
    </row>
    <row r="5" customFormat="false" ht="69" hidden="false" customHeight="true" outlineLevel="0" collapsed="false">
      <c r="A5" s="18" t="s">
        <v>105</v>
      </c>
      <c r="B5" s="5" t="s">
        <v>106</v>
      </c>
      <c r="C5" s="5" t="s">
        <v>107</v>
      </c>
      <c r="D5" s="5" t="s">
        <v>108</v>
      </c>
      <c r="E5" s="5" t="s">
        <v>109</v>
      </c>
      <c r="F5" s="5" t="s">
        <v>110</v>
      </c>
      <c r="G5" s="5" t="s">
        <v>111</v>
      </c>
      <c r="H5" s="5" t="s">
        <v>112</v>
      </c>
      <c r="I5" s="5" t="s">
        <v>113</v>
      </c>
      <c r="J5" s="7"/>
    </row>
    <row r="6" customFormat="false" ht="55.5" hidden="false" customHeight="true" outlineLevel="0" collapsed="false">
      <c r="A6" s="18" t="s">
        <v>114</v>
      </c>
      <c r="B6" s="5" t="s">
        <v>106</v>
      </c>
      <c r="C6" s="5" t="s">
        <v>115</v>
      </c>
      <c r="D6" s="5" t="s">
        <v>116</v>
      </c>
      <c r="E6" s="5" t="s">
        <v>109</v>
      </c>
      <c r="F6" s="5" t="s">
        <v>117</v>
      </c>
      <c r="G6" s="5" t="s">
        <v>118</v>
      </c>
      <c r="H6" s="5" t="s">
        <v>119</v>
      </c>
      <c r="I6" s="5" t="s">
        <v>113</v>
      </c>
      <c r="J6" s="7"/>
    </row>
    <row r="7" customFormat="false" ht="55.5" hidden="false" customHeight="true" outlineLevel="0" collapsed="false">
      <c r="A7" s="18" t="s">
        <v>120</v>
      </c>
      <c r="B7" s="5" t="s">
        <v>106</v>
      </c>
      <c r="C7" s="5" t="s">
        <v>121</v>
      </c>
      <c r="D7" s="5" t="s">
        <v>122</v>
      </c>
      <c r="E7" s="5" t="s">
        <v>109</v>
      </c>
      <c r="F7" s="5" t="s">
        <v>123</v>
      </c>
      <c r="G7" s="5" t="s">
        <v>124</v>
      </c>
      <c r="H7" s="5" t="s">
        <v>125</v>
      </c>
      <c r="I7" s="5" t="s">
        <v>113</v>
      </c>
      <c r="J7" s="7"/>
    </row>
    <row r="8" customFormat="false" ht="69" hidden="false" customHeight="true" outlineLevel="0" collapsed="false">
      <c r="A8" s="18" t="s">
        <v>126</v>
      </c>
      <c r="B8" s="5" t="s">
        <v>106</v>
      </c>
      <c r="C8" s="5" t="s">
        <v>127</v>
      </c>
      <c r="D8" s="5" t="s">
        <v>128</v>
      </c>
      <c r="E8" s="5" t="s">
        <v>129</v>
      </c>
      <c r="F8" s="5" t="s">
        <v>130</v>
      </c>
      <c r="G8" s="5" t="s">
        <v>131</v>
      </c>
      <c r="H8" s="5" t="s">
        <v>132</v>
      </c>
      <c r="I8" s="5" t="s">
        <v>113</v>
      </c>
      <c r="J8" s="7"/>
    </row>
    <row r="9" customFormat="false" ht="55.5" hidden="false" customHeight="true" outlineLevel="0" collapsed="false">
      <c r="A9" s="18" t="s">
        <v>133</v>
      </c>
      <c r="B9" s="5" t="s">
        <v>134</v>
      </c>
      <c r="C9" s="5" t="s">
        <v>135</v>
      </c>
      <c r="D9" s="5" t="s">
        <v>136</v>
      </c>
      <c r="E9" s="5" t="s">
        <v>129</v>
      </c>
      <c r="F9" s="5" t="s">
        <v>137</v>
      </c>
      <c r="G9" s="5" t="s">
        <v>138</v>
      </c>
      <c r="H9" s="5" t="s">
        <v>139</v>
      </c>
      <c r="I9" s="5" t="s">
        <v>113</v>
      </c>
      <c r="J9" s="7"/>
    </row>
    <row r="10" customFormat="false" ht="55.5" hidden="false" customHeight="true" outlineLevel="0" collapsed="false">
      <c r="A10" s="18" t="s">
        <v>140</v>
      </c>
      <c r="B10" s="5" t="s">
        <v>134</v>
      </c>
      <c r="C10" s="5" t="s">
        <v>141</v>
      </c>
      <c r="D10" s="5" t="s">
        <v>142</v>
      </c>
      <c r="E10" s="5" t="s">
        <v>143</v>
      </c>
      <c r="F10" s="5" t="s">
        <v>144</v>
      </c>
      <c r="G10" s="5" t="s">
        <v>145</v>
      </c>
      <c r="H10" s="5" t="s">
        <v>146</v>
      </c>
      <c r="I10" s="5" t="s">
        <v>113</v>
      </c>
      <c r="J10" s="7"/>
    </row>
    <row r="11" customFormat="false" ht="81.75" hidden="false" customHeight="true" outlineLevel="0" collapsed="false">
      <c r="A11" s="18" t="s">
        <v>147</v>
      </c>
      <c r="B11" s="5" t="s">
        <v>148</v>
      </c>
      <c r="C11" s="5" t="s">
        <v>149</v>
      </c>
      <c r="D11" s="5" t="s">
        <v>150</v>
      </c>
      <c r="E11" s="5" t="s">
        <v>143</v>
      </c>
      <c r="F11" s="5" t="s">
        <v>151</v>
      </c>
      <c r="G11" s="5" t="s">
        <v>152</v>
      </c>
      <c r="H11" s="5" t="s">
        <v>153</v>
      </c>
      <c r="I11" s="5" t="s">
        <v>113</v>
      </c>
      <c r="J11" s="7"/>
    </row>
    <row r="12" customFormat="false" ht="55.5" hidden="false" customHeight="true" outlineLevel="0" collapsed="false">
      <c r="A12" s="18" t="s">
        <v>154</v>
      </c>
      <c r="B12" s="5" t="s">
        <v>148</v>
      </c>
      <c r="C12" s="5" t="s">
        <v>155</v>
      </c>
      <c r="D12" s="5" t="s">
        <v>156</v>
      </c>
      <c r="E12" s="5" t="s">
        <v>143</v>
      </c>
      <c r="F12" s="5" t="s">
        <v>157</v>
      </c>
      <c r="G12" s="5" t="s">
        <v>158</v>
      </c>
      <c r="H12" s="5" t="s">
        <v>159</v>
      </c>
      <c r="I12" s="5" t="s">
        <v>113</v>
      </c>
      <c r="J12" s="7"/>
    </row>
    <row r="13" customFormat="false" ht="55.5" hidden="false" customHeight="true" outlineLevel="0" collapsed="false">
      <c r="A13" s="18" t="s">
        <v>160</v>
      </c>
      <c r="B13" s="5" t="s">
        <v>134</v>
      </c>
      <c r="C13" s="5" t="s">
        <v>161</v>
      </c>
      <c r="D13" s="5" t="s">
        <v>162</v>
      </c>
      <c r="E13" s="5" t="s">
        <v>143</v>
      </c>
      <c r="F13" s="5" t="s">
        <v>163</v>
      </c>
      <c r="G13" s="5" t="s">
        <v>164</v>
      </c>
      <c r="H13" s="5" t="s">
        <v>165</v>
      </c>
      <c r="I13" s="5" t="s">
        <v>113</v>
      </c>
      <c r="J13" s="7"/>
    </row>
    <row r="14" customFormat="false" ht="55.5" hidden="false" customHeight="true" outlineLevel="0" collapsed="false">
      <c r="A14" s="18" t="s">
        <v>166</v>
      </c>
      <c r="B14" s="5" t="s">
        <v>167</v>
      </c>
      <c r="C14" s="5" t="s">
        <v>168</v>
      </c>
      <c r="D14" s="5" t="s">
        <v>169</v>
      </c>
      <c r="E14" s="5" t="s">
        <v>143</v>
      </c>
      <c r="F14" s="5" t="s">
        <v>170</v>
      </c>
      <c r="G14" s="5" t="s">
        <v>171</v>
      </c>
      <c r="H14" s="5" t="s">
        <v>172</v>
      </c>
      <c r="I14" s="5" t="s">
        <v>113</v>
      </c>
      <c r="J14" s="7"/>
    </row>
    <row r="15" customFormat="false" ht="55.5" hidden="false" customHeight="true" outlineLevel="0" collapsed="false">
      <c r="A15" s="18" t="s">
        <v>173</v>
      </c>
      <c r="B15" s="5" t="s">
        <v>167</v>
      </c>
      <c r="C15" s="5" t="s">
        <v>174</v>
      </c>
      <c r="D15" s="5" t="s">
        <v>175</v>
      </c>
      <c r="E15" s="5" t="s">
        <v>129</v>
      </c>
      <c r="F15" s="5" t="s">
        <v>176</v>
      </c>
      <c r="G15" s="5" t="s">
        <v>177</v>
      </c>
      <c r="H15" s="5" t="s">
        <v>178</v>
      </c>
      <c r="I15" s="5" t="s">
        <v>113</v>
      </c>
      <c r="J15" s="7"/>
    </row>
    <row r="16" customFormat="false" ht="55.5" hidden="false" customHeight="true" outlineLevel="0" collapsed="false">
      <c r="A16" s="18" t="s">
        <v>179</v>
      </c>
      <c r="B16" s="5" t="s">
        <v>167</v>
      </c>
      <c r="C16" s="5" t="s">
        <v>180</v>
      </c>
      <c r="D16" s="5" t="s">
        <v>181</v>
      </c>
      <c r="E16" s="5" t="s">
        <v>143</v>
      </c>
      <c r="F16" s="5" t="s">
        <v>182</v>
      </c>
      <c r="G16" s="5" t="s">
        <v>183</v>
      </c>
      <c r="H16" s="5" t="s">
        <v>184</v>
      </c>
      <c r="I16" s="5" t="s">
        <v>113</v>
      </c>
      <c r="J16" s="7"/>
    </row>
    <row r="17" customFormat="false" ht="69" hidden="false" customHeight="true" outlineLevel="0" collapsed="false">
      <c r="A17" s="18" t="s">
        <v>185</v>
      </c>
      <c r="B17" s="5" t="s">
        <v>167</v>
      </c>
      <c r="C17" s="5" t="s">
        <v>186</v>
      </c>
      <c r="D17" s="5" t="s">
        <v>187</v>
      </c>
      <c r="E17" s="5" t="s">
        <v>129</v>
      </c>
      <c r="F17" s="5" t="s">
        <v>188</v>
      </c>
      <c r="G17" s="5" t="s">
        <v>189</v>
      </c>
      <c r="H17" s="5" t="s">
        <v>190</v>
      </c>
      <c r="I17" s="5" t="s">
        <v>113</v>
      </c>
      <c r="J17" s="7"/>
    </row>
    <row r="18" customFormat="false" ht="69" hidden="false" customHeight="true" outlineLevel="0" collapsed="false">
      <c r="A18" s="18" t="s">
        <v>191</v>
      </c>
      <c r="B18" s="5" t="s">
        <v>167</v>
      </c>
      <c r="C18" s="5" t="s">
        <v>192</v>
      </c>
      <c r="D18" s="5" t="s">
        <v>193</v>
      </c>
      <c r="E18" s="5" t="s">
        <v>129</v>
      </c>
      <c r="F18" s="5" t="s">
        <v>194</v>
      </c>
      <c r="G18" s="5" t="s">
        <v>195</v>
      </c>
      <c r="H18" s="5" t="s">
        <v>196</v>
      </c>
      <c r="I18" s="5" t="s">
        <v>113</v>
      </c>
      <c r="J18" s="7"/>
    </row>
    <row r="19" customFormat="false" ht="55.5" hidden="false" customHeight="true" outlineLevel="0" collapsed="false">
      <c r="A19" s="18" t="s">
        <v>197</v>
      </c>
      <c r="B19" s="5" t="s">
        <v>198</v>
      </c>
      <c r="C19" s="5" t="s">
        <v>199</v>
      </c>
      <c r="D19" s="5" t="s">
        <v>200</v>
      </c>
      <c r="E19" s="5" t="s">
        <v>201</v>
      </c>
      <c r="F19" s="5" t="s">
        <v>202</v>
      </c>
      <c r="G19" s="5" t="s">
        <v>203</v>
      </c>
      <c r="H19" s="5" t="s">
        <v>204</v>
      </c>
      <c r="I19" s="5" t="s">
        <v>113</v>
      </c>
      <c r="J19" s="7"/>
    </row>
    <row r="20" customFormat="false" ht="55.5" hidden="false" customHeight="true" outlineLevel="0" collapsed="false">
      <c r="A20" s="18" t="s">
        <v>205</v>
      </c>
      <c r="B20" s="5" t="s">
        <v>198</v>
      </c>
      <c r="C20" s="5" t="s">
        <v>206</v>
      </c>
      <c r="D20" s="5" t="s">
        <v>207</v>
      </c>
      <c r="E20" s="5" t="s">
        <v>201</v>
      </c>
      <c r="F20" s="5" t="s">
        <v>208</v>
      </c>
      <c r="G20" s="5" t="s">
        <v>209</v>
      </c>
      <c r="H20" s="5" t="s">
        <v>210</v>
      </c>
      <c r="I20" s="5" t="s">
        <v>113</v>
      </c>
      <c r="J20" s="7"/>
    </row>
    <row r="21" customFormat="false" ht="69" hidden="false" customHeight="true" outlineLevel="0" collapsed="false">
      <c r="A21" s="18" t="s">
        <v>211</v>
      </c>
      <c r="B21" s="5" t="s">
        <v>212</v>
      </c>
      <c r="C21" s="5" t="s">
        <v>213</v>
      </c>
      <c r="D21" s="5" t="s">
        <v>214</v>
      </c>
      <c r="E21" s="5" t="s">
        <v>129</v>
      </c>
      <c r="F21" s="5" t="s">
        <v>215</v>
      </c>
      <c r="G21" s="5" t="s">
        <v>216</v>
      </c>
      <c r="H21" s="5" t="s">
        <v>217</v>
      </c>
      <c r="I21" s="5" t="s">
        <v>113</v>
      </c>
      <c r="J21" s="7"/>
    </row>
    <row r="22" customFormat="false" ht="55.5" hidden="false" customHeight="true" outlineLevel="0" collapsed="false">
      <c r="A22" s="18" t="s">
        <v>218</v>
      </c>
      <c r="B22" s="5" t="s">
        <v>212</v>
      </c>
      <c r="C22" s="5" t="s">
        <v>219</v>
      </c>
      <c r="D22" s="5" t="s">
        <v>220</v>
      </c>
      <c r="E22" s="5" t="s">
        <v>129</v>
      </c>
      <c r="F22" s="5" t="s">
        <v>221</v>
      </c>
      <c r="G22" s="5" t="s">
        <v>222</v>
      </c>
      <c r="H22" s="5" t="s">
        <v>223</v>
      </c>
      <c r="I22" s="5" t="s">
        <v>113</v>
      </c>
      <c r="J22" s="7"/>
    </row>
    <row r="23" customFormat="false" ht="55.5" hidden="false" customHeight="true" outlineLevel="0" collapsed="false">
      <c r="A23" s="18" t="s">
        <v>224</v>
      </c>
      <c r="B23" s="5" t="s">
        <v>212</v>
      </c>
      <c r="C23" s="5" t="s">
        <v>225</v>
      </c>
      <c r="D23" s="5" t="s">
        <v>226</v>
      </c>
      <c r="E23" s="5" t="s">
        <v>109</v>
      </c>
      <c r="F23" s="5" t="s">
        <v>227</v>
      </c>
      <c r="G23" s="5" t="s">
        <v>228</v>
      </c>
      <c r="H23" s="5" t="s">
        <v>229</v>
      </c>
      <c r="I23" s="5" t="s">
        <v>113</v>
      </c>
      <c r="J23" s="7"/>
    </row>
    <row r="24" customFormat="false" ht="94.5" hidden="false" customHeight="true" outlineLevel="0" collapsed="false">
      <c r="A24" s="18" t="s">
        <v>230</v>
      </c>
      <c r="B24" s="5" t="s">
        <v>167</v>
      </c>
      <c r="C24" s="5" t="s">
        <v>231</v>
      </c>
      <c r="D24" s="5" t="s">
        <v>232</v>
      </c>
      <c r="E24" s="5" t="s">
        <v>129</v>
      </c>
      <c r="F24" s="5" t="s">
        <v>233</v>
      </c>
      <c r="G24" s="5" t="s">
        <v>234</v>
      </c>
      <c r="H24" s="5" t="s">
        <v>235</v>
      </c>
      <c r="I24" s="5" t="s">
        <v>113</v>
      </c>
      <c r="J24" s="7"/>
    </row>
    <row r="25" customFormat="false" ht="55.5" hidden="false" customHeight="true" outlineLevel="0" collapsed="false">
      <c r="A25" s="18" t="s">
        <v>236</v>
      </c>
      <c r="B25" s="5" t="s">
        <v>237</v>
      </c>
      <c r="C25" s="5" t="s">
        <v>238</v>
      </c>
      <c r="D25" s="5" t="s">
        <v>239</v>
      </c>
      <c r="E25" s="5" t="s">
        <v>143</v>
      </c>
      <c r="F25" s="5" t="s">
        <v>240</v>
      </c>
      <c r="G25" s="5" t="s">
        <v>241</v>
      </c>
      <c r="H25" s="5" t="s">
        <v>242</v>
      </c>
      <c r="I25" s="5" t="s">
        <v>113</v>
      </c>
      <c r="J25" s="7"/>
    </row>
    <row r="26" customFormat="false" ht="55.5" hidden="false" customHeight="true" outlineLevel="0" collapsed="false">
      <c r="A26" s="18" t="s">
        <v>243</v>
      </c>
      <c r="B26" s="5" t="s">
        <v>237</v>
      </c>
      <c r="C26" s="5" t="s">
        <v>244</v>
      </c>
      <c r="D26" s="5" t="s">
        <v>245</v>
      </c>
      <c r="E26" s="5" t="s">
        <v>143</v>
      </c>
      <c r="F26" s="5" t="s">
        <v>246</v>
      </c>
      <c r="G26" s="5" t="s">
        <v>247</v>
      </c>
      <c r="H26" s="5" t="s">
        <v>248</v>
      </c>
      <c r="I26" s="5" t="s">
        <v>113</v>
      </c>
      <c r="J26" s="7"/>
    </row>
    <row r="27" customFormat="false" ht="55.5" hidden="false" customHeight="true" outlineLevel="0" collapsed="false">
      <c r="A27" s="18" t="s">
        <v>249</v>
      </c>
      <c r="B27" s="5" t="s">
        <v>250</v>
      </c>
      <c r="C27" s="5" t="s">
        <v>251</v>
      </c>
      <c r="D27" s="5" t="s">
        <v>252</v>
      </c>
      <c r="E27" s="5" t="s">
        <v>253</v>
      </c>
      <c r="F27" s="5" t="s">
        <v>254</v>
      </c>
      <c r="G27" s="5" t="s">
        <v>255</v>
      </c>
      <c r="H27" s="5" t="s">
        <v>256</v>
      </c>
      <c r="I27" s="5" t="s">
        <v>113</v>
      </c>
      <c r="J27" s="7"/>
    </row>
    <row r="28" customFormat="false" ht="69" hidden="false" customHeight="true" outlineLevel="0" collapsed="false">
      <c r="A28" s="18" t="s">
        <v>257</v>
      </c>
      <c r="B28" s="5" t="s">
        <v>258</v>
      </c>
      <c r="C28" s="5" t="s">
        <v>259</v>
      </c>
      <c r="D28" s="5" t="s">
        <v>260</v>
      </c>
      <c r="E28" s="5" t="s">
        <v>201</v>
      </c>
      <c r="F28" s="5" t="s">
        <v>261</v>
      </c>
      <c r="G28" s="5" t="s">
        <v>262</v>
      </c>
      <c r="H28" s="5" t="s">
        <v>263</v>
      </c>
      <c r="I28" s="5" t="s">
        <v>113</v>
      </c>
      <c r="J28" s="7"/>
    </row>
    <row r="29" customFormat="false" ht="81.75" hidden="false" customHeight="true" outlineLevel="0" collapsed="false">
      <c r="A29" s="18" t="s">
        <v>264</v>
      </c>
      <c r="B29" s="5" t="s">
        <v>258</v>
      </c>
      <c r="C29" s="5" t="s">
        <v>265</v>
      </c>
      <c r="D29" s="5" t="s">
        <v>266</v>
      </c>
      <c r="E29" s="5" t="s">
        <v>109</v>
      </c>
      <c r="F29" s="5" t="s">
        <v>267</v>
      </c>
      <c r="G29" s="5" t="s">
        <v>268</v>
      </c>
      <c r="H29" s="5" t="s">
        <v>269</v>
      </c>
      <c r="I29" s="5" t="s">
        <v>113</v>
      </c>
      <c r="J29" s="7"/>
    </row>
    <row r="31" customFormat="false" ht="15" hidden="false" customHeight="false" outlineLevel="0" collapsed="false">
      <c r="C31" s="10" t="s">
        <v>270</v>
      </c>
      <c r="D31" s="11" t="n">
        <f aca="false">COUNTA(D5:D29)</f>
        <v>25</v>
      </c>
    </row>
    <row r="32" customFormat="false" ht="15" hidden="false" customHeight="false" outlineLevel="0" collapsed="false">
      <c r="C32" s="10" t="s">
        <v>271</v>
      </c>
      <c r="D32" s="11" t="n">
        <f aca="false">COUNTA(H5:H29)</f>
        <v>25</v>
      </c>
    </row>
    <row r="33" customFormat="false" ht="15" hidden="false" customHeight="false" outlineLevel="0" collapsed="false">
      <c r="C33" s="10" t="s">
        <v>272</v>
      </c>
      <c r="D33" s="19" t="n">
        <f aca="false">SUMPRODUCT((B5:B29&lt;&gt;"")/COUNTIF(B5:B29,B5:B29&amp;""))</f>
        <v>9</v>
      </c>
    </row>
    <row r="35" customFormat="false" ht="15" hidden="false" customHeight="false" outlineLevel="0" collapsed="false">
      <c r="A35" s="16" t="s">
        <v>273</v>
      </c>
    </row>
  </sheetData>
  <dataValidations count="3">
    <dataValidation allowBlank="true" error="Choose a value from the list." errorStyle="stop" operator="between" showDropDown="false" showErrorMessage="true" showInputMessage="false" sqref="B5:B29" type="list">
      <formula1>"Payment,Ticket and fares,Hardware,Failure handling,Security,Performance and reliability,Users and accessibility,Integration,Other"</formula1>
      <formula2>0</formula2>
    </dataValidation>
    <dataValidation allowBlank="true" error="Choose a value from the list." errorStyle="stop" operator="between" showDropDown="false" showErrorMessage="true" showInputMessage="false" sqref="E5:E29" type="list">
      <formula1>"Passenger,Operator,Bank / payment gateway,Maintenance,Transport authority,Other"</formula1>
      <formula2>0</formula2>
    </dataValidation>
    <dataValidation allowBlank="true" error="Choose a value from the list." errorStyle="stop" operator="between" showDropDown="false" showErrorMessage="true" showInputMessage="false" sqref="I5:I29" type="list">
      <formula1>"Draft,Final"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8"/>
    <col collapsed="false" customWidth="true" hidden="false" outlineLevel="0" max="4" min="4" style="0" width="18"/>
    <col collapsed="false" customWidth="true" hidden="false" outlineLevel="0" max="5" min="5" style="0" width="40"/>
    <col collapsed="false" customWidth="true" hidden="false" outlineLevel="0" max="6" min="6" style="0" width="28"/>
    <col collapsed="false" customWidth="true" hidden="false" outlineLevel="0" max="9" min="7" style="0" width="12"/>
    <col collapsed="false" customWidth="true" hidden="false" outlineLevel="0" max="10" min="10" style="0" width="26"/>
  </cols>
  <sheetData>
    <row r="1" customFormat="false" ht="19.5" hidden="false" customHeight="true" outlineLevel="0" collapsed="false">
      <c r="A1" s="1" t="s">
        <v>274</v>
      </c>
    </row>
    <row r="2" customFormat="false" ht="15" hidden="false" customHeight="false" outlineLevel="0" collapsed="false">
      <c r="A2" s="2" t="s">
        <v>275</v>
      </c>
    </row>
    <row r="4" customFormat="false" ht="33.75" hidden="false" customHeight="true" outlineLevel="0" collapsed="false">
      <c r="A4" s="8" t="s">
        <v>276</v>
      </c>
      <c r="B4" s="13" t="s">
        <v>277</v>
      </c>
      <c r="C4" s="13" t="s">
        <v>278</v>
      </c>
      <c r="D4" s="13" t="s">
        <v>279</v>
      </c>
      <c r="E4" s="13" t="s">
        <v>280</v>
      </c>
      <c r="F4" s="13" t="s">
        <v>281</v>
      </c>
      <c r="G4" s="13" t="s">
        <v>282</v>
      </c>
      <c r="H4" s="13" t="s">
        <v>283</v>
      </c>
      <c r="I4" s="13" t="s">
        <v>284</v>
      </c>
      <c r="J4" s="17" t="s">
        <v>104</v>
      </c>
    </row>
    <row r="5" customFormat="false" ht="42.75" hidden="false" customHeight="true" outlineLevel="0" collapsed="false">
      <c r="A5" s="18" t="str">
        <f aca="false">IF(C5="","",C5&amp;COUNTIF($C$5:C5,C5))</f>
        <v>FR1</v>
      </c>
      <c r="B5" s="5" t="s">
        <v>285</v>
      </c>
      <c r="C5" s="5" t="s">
        <v>286</v>
      </c>
      <c r="D5" s="5"/>
      <c r="E5" s="5"/>
      <c r="F5" s="5"/>
      <c r="G5" s="5" t="s">
        <v>287</v>
      </c>
      <c r="H5" s="5" t="s">
        <v>288</v>
      </c>
      <c r="I5" s="5" t="s">
        <v>289</v>
      </c>
      <c r="J5" s="7"/>
    </row>
    <row r="6" customFormat="false" ht="55.5" hidden="false" customHeight="true" outlineLevel="0" collapsed="false">
      <c r="A6" s="18" t="str">
        <f aca="false">IF(C6="","",C6&amp;COUNTIF($C$5:C6,C6))</f>
        <v>FR2</v>
      </c>
      <c r="B6" s="5" t="s">
        <v>290</v>
      </c>
      <c r="C6" s="5" t="s">
        <v>286</v>
      </c>
      <c r="D6" s="5"/>
      <c r="E6" s="5"/>
      <c r="F6" s="5"/>
      <c r="G6" s="5" t="s">
        <v>287</v>
      </c>
      <c r="H6" s="5" t="s">
        <v>291</v>
      </c>
      <c r="I6" s="5" t="s">
        <v>105</v>
      </c>
      <c r="J6" s="7"/>
    </row>
    <row r="7" customFormat="false" ht="55.5" hidden="false" customHeight="true" outlineLevel="0" collapsed="false">
      <c r="A7" s="18" t="str">
        <f aca="false">IF(C7="","",C7&amp;COUNTIF($C$5:C7,C7))</f>
        <v>FR3</v>
      </c>
      <c r="B7" s="5" t="s">
        <v>292</v>
      </c>
      <c r="C7" s="5" t="s">
        <v>286</v>
      </c>
      <c r="D7" s="5"/>
      <c r="E7" s="5"/>
      <c r="F7" s="5"/>
      <c r="G7" s="5" t="s">
        <v>293</v>
      </c>
      <c r="H7" s="5" t="s">
        <v>291</v>
      </c>
      <c r="I7" s="5" t="s">
        <v>294</v>
      </c>
      <c r="J7" s="7"/>
    </row>
    <row r="8" customFormat="false" ht="55.5" hidden="false" customHeight="true" outlineLevel="0" collapsed="false">
      <c r="A8" s="18" t="str">
        <f aca="false">IF(C8="","",C8&amp;COUNTIF($C$5:C8,C8))</f>
        <v>FR4</v>
      </c>
      <c r="B8" s="5" t="s">
        <v>295</v>
      </c>
      <c r="C8" s="5" t="s">
        <v>286</v>
      </c>
      <c r="D8" s="5"/>
      <c r="E8" s="5"/>
      <c r="F8" s="5"/>
      <c r="G8" s="5" t="s">
        <v>287</v>
      </c>
      <c r="H8" s="5" t="s">
        <v>291</v>
      </c>
      <c r="I8" s="5" t="s">
        <v>114</v>
      </c>
      <c r="J8" s="7"/>
    </row>
    <row r="9" customFormat="false" ht="55.5" hidden="false" customHeight="true" outlineLevel="0" collapsed="false">
      <c r="A9" s="18" t="str">
        <f aca="false">IF(C9="","",C9&amp;COUNTIF($C$5:C9,C9))</f>
        <v>FR5</v>
      </c>
      <c r="B9" s="5" t="s">
        <v>296</v>
      </c>
      <c r="C9" s="5" t="s">
        <v>286</v>
      </c>
      <c r="D9" s="5"/>
      <c r="E9" s="5"/>
      <c r="F9" s="5"/>
      <c r="G9" s="5" t="s">
        <v>287</v>
      </c>
      <c r="H9" s="5" t="s">
        <v>288</v>
      </c>
      <c r="I9" s="5" t="s">
        <v>133</v>
      </c>
      <c r="J9" s="7"/>
    </row>
    <row r="10" customFormat="false" ht="69" hidden="false" customHeight="true" outlineLevel="0" collapsed="false">
      <c r="A10" s="18" t="str">
        <f aca="false">IF(C10="","",C10&amp;COUNTIF($C$5:C10,C10))</f>
        <v>FR6</v>
      </c>
      <c r="B10" s="5" t="s">
        <v>297</v>
      </c>
      <c r="C10" s="5" t="s">
        <v>286</v>
      </c>
      <c r="D10" s="5"/>
      <c r="E10" s="5"/>
      <c r="F10" s="5"/>
      <c r="G10" s="5" t="s">
        <v>287</v>
      </c>
      <c r="H10" s="5" t="s">
        <v>298</v>
      </c>
      <c r="I10" s="5" t="s">
        <v>299</v>
      </c>
      <c r="J10" s="7"/>
    </row>
    <row r="11" customFormat="false" ht="55.5" hidden="false" customHeight="true" outlineLevel="0" collapsed="false">
      <c r="A11" s="18" t="str">
        <f aca="false">IF(C11="","",C11&amp;COUNTIF($C$5:C11,C11))</f>
        <v>FR7</v>
      </c>
      <c r="B11" s="5" t="s">
        <v>300</v>
      </c>
      <c r="C11" s="5" t="s">
        <v>286</v>
      </c>
      <c r="D11" s="5"/>
      <c r="E11" s="5"/>
      <c r="F11" s="5"/>
      <c r="G11" s="5" t="s">
        <v>287</v>
      </c>
      <c r="H11" s="5" t="s">
        <v>301</v>
      </c>
      <c r="I11" s="5" t="s">
        <v>147</v>
      </c>
      <c r="J11" s="7"/>
    </row>
    <row r="12" customFormat="false" ht="69" hidden="false" customHeight="true" outlineLevel="0" collapsed="false">
      <c r="A12" s="18" t="str">
        <f aca="false">IF(C12="","",C12&amp;COUNTIF($C$5:C12,C12))</f>
        <v>FR8</v>
      </c>
      <c r="B12" s="5" t="s">
        <v>302</v>
      </c>
      <c r="C12" s="5" t="s">
        <v>286</v>
      </c>
      <c r="D12" s="5"/>
      <c r="E12" s="5"/>
      <c r="F12" s="5"/>
      <c r="G12" s="5" t="s">
        <v>287</v>
      </c>
      <c r="H12" s="5" t="s">
        <v>303</v>
      </c>
      <c r="I12" s="5" t="s">
        <v>304</v>
      </c>
      <c r="J12" s="7"/>
    </row>
    <row r="13" customFormat="false" ht="42.75" hidden="false" customHeight="true" outlineLevel="0" collapsed="false">
      <c r="A13" s="18" t="str">
        <f aca="false">IF(C13="","",C13&amp;COUNTIF($C$5:C13,C13))</f>
        <v>FR9</v>
      </c>
      <c r="B13" s="5" t="s">
        <v>305</v>
      </c>
      <c r="C13" s="5" t="s">
        <v>286</v>
      </c>
      <c r="D13" s="5"/>
      <c r="E13" s="5"/>
      <c r="F13" s="5"/>
      <c r="G13" s="5" t="s">
        <v>287</v>
      </c>
      <c r="H13" s="5" t="s">
        <v>306</v>
      </c>
      <c r="I13" s="5" t="s">
        <v>160</v>
      </c>
      <c r="J13" s="7"/>
    </row>
    <row r="14" customFormat="false" ht="69" hidden="false" customHeight="true" outlineLevel="0" collapsed="false">
      <c r="A14" s="18" t="str">
        <f aca="false">IF(C14="","",C14&amp;COUNTIF($C$5:C14,C14))</f>
        <v>FR10</v>
      </c>
      <c r="B14" s="5" t="s">
        <v>307</v>
      </c>
      <c r="C14" s="5" t="s">
        <v>286</v>
      </c>
      <c r="D14" s="5"/>
      <c r="E14" s="5"/>
      <c r="F14" s="5"/>
      <c r="G14" s="5" t="s">
        <v>287</v>
      </c>
      <c r="H14" s="5" t="s">
        <v>308</v>
      </c>
      <c r="I14" s="5" t="s">
        <v>126</v>
      </c>
      <c r="J14" s="7"/>
    </row>
    <row r="15" customFormat="false" ht="69" hidden="false" customHeight="true" outlineLevel="0" collapsed="false">
      <c r="A15" s="18" t="str">
        <f aca="false">IF(C15="","",C15&amp;COUNTIF($C$5:C15,C15))</f>
        <v>FR11</v>
      </c>
      <c r="B15" s="5" t="s">
        <v>309</v>
      </c>
      <c r="C15" s="5" t="s">
        <v>286</v>
      </c>
      <c r="D15" s="5"/>
      <c r="E15" s="5"/>
      <c r="F15" s="5"/>
      <c r="G15" s="5" t="s">
        <v>287</v>
      </c>
      <c r="H15" s="5" t="s">
        <v>310</v>
      </c>
      <c r="I15" s="5" t="s">
        <v>185</v>
      </c>
      <c r="J15" s="7"/>
    </row>
    <row r="16" customFormat="false" ht="55.5" hidden="false" customHeight="true" outlineLevel="0" collapsed="false">
      <c r="A16" s="18" t="str">
        <f aca="false">IF(C16="","",C16&amp;COUNTIF($C$5:C16,C16))</f>
        <v>FR12</v>
      </c>
      <c r="B16" s="5" t="s">
        <v>311</v>
      </c>
      <c r="C16" s="5" t="s">
        <v>286</v>
      </c>
      <c r="D16" s="5"/>
      <c r="E16" s="5"/>
      <c r="F16" s="5"/>
      <c r="G16" s="5" t="s">
        <v>293</v>
      </c>
      <c r="H16" s="5" t="s">
        <v>288</v>
      </c>
      <c r="I16" s="5" t="s">
        <v>173</v>
      </c>
      <c r="J16" s="7"/>
    </row>
    <row r="17" customFormat="false" ht="55.5" hidden="false" customHeight="true" outlineLevel="0" collapsed="false">
      <c r="A17" s="18" t="str">
        <f aca="false">IF(C17="","",C17&amp;COUNTIF($C$5:C17,C17))</f>
        <v>FR13</v>
      </c>
      <c r="B17" s="5" t="s">
        <v>312</v>
      </c>
      <c r="C17" s="5" t="s">
        <v>286</v>
      </c>
      <c r="D17" s="5"/>
      <c r="E17" s="5"/>
      <c r="F17" s="5"/>
      <c r="G17" s="5" t="s">
        <v>287</v>
      </c>
      <c r="H17" s="5" t="s">
        <v>313</v>
      </c>
      <c r="I17" s="5" t="s">
        <v>173</v>
      </c>
      <c r="J17" s="7"/>
    </row>
    <row r="18" customFormat="false" ht="55.5" hidden="false" customHeight="true" outlineLevel="0" collapsed="false">
      <c r="A18" s="18" t="str">
        <f aca="false">IF(C18="","",C18&amp;COUNTIF($C$5:C18,C18))</f>
        <v>FR14</v>
      </c>
      <c r="B18" s="5" t="s">
        <v>314</v>
      </c>
      <c r="C18" s="5" t="s">
        <v>286</v>
      </c>
      <c r="D18" s="5"/>
      <c r="E18" s="5"/>
      <c r="F18" s="5"/>
      <c r="G18" s="5" t="s">
        <v>287</v>
      </c>
      <c r="H18" s="5" t="s">
        <v>298</v>
      </c>
      <c r="I18" s="5" t="s">
        <v>166</v>
      </c>
      <c r="J18" s="7"/>
    </row>
    <row r="19" customFormat="false" ht="69" hidden="false" customHeight="true" outlineLevel="0" collapsed="false">
      <c r="A19" s="18" t="str">
        <f aca="false">IF(C19="","",C19&amp;COUNTIF($C$5:C19,C19))</f>
        <v>FR15</v>
      </c>
      <c r="B19" s="5" t="s">
        <v>315</v>
      </c>
      <c r="C19" s="5" t="s">
        <v>286</v>
      </c>
      <c r="D19" s="5"/>
      <c r="E19" s="5"/>
      <c r="F19" s="5"/>
      <c r="G19" s="5" t="s">
        <v>287</v>
      </c>
      <c r="H19" s="5" t="s">
        <v>316</v>
      </c>
      <c r="I19" s="5" t="s">
        <v>317</v>
      </c>
      <c r="J19" s="7"/>
    </row>
    <row r="20" customFormat="false" ht="81.75" hidden="false" customHeight="true" outlineLevel="0" collapsed="false">
      <c r="A20" s="18" t="str">
        <f aca="false">IF(C20="","",C20&amp;COUNTIF($C$5:C20,C20))</f>
        <v>FR16</v>
      </c>
      <c r="B20" s="5" t="s">
        <v>318</v>
      </c>
      <c r="C20" s="5" t="s">
        <v>286</v>
      </c>
      <c r="D20" s="5"/>
      <c r="E20" s="5"/>
      <c r="F20" s="5"/>
      <c r="G20" s="5" t="s">
        <v>287</v>
      </c>
      <c r="H20" s="5" t="s">
        <v>316</v>
      </c>
      <c r="I20" s="5" t="s">
        <v>179</v>
      </c>
      <c r="J20" s="7"/>
    </row>
    <row r="21" customFormat="false" ht="55.5" hidden="false" customHeight="true" outlineLevel="0" collapsed="false">
      <c r="A21" s="18" t="str">
        <f aca="false">IF(C21="","",C21&amp;COUNTIF($C$5:C21,C21))</f>
        <v>FR17</v>
      </c>
      <c r="B21" s="5" t="s">
        <v>319</v>
      </c>
      <c r="C21" s="5" t="s">
        <v>286</v>
      </c>
      <c r="D21" s="5"/>
      <c r="E21" s="5"/>
      <c r="F21" s="5"/>
      <c r="G21" s="5" t="s">
        <v>287</v>
      </c>
      <c r="H21" s="5" t="s">
        <v>320</v>
      </c>
      <c r="I21" s="5" t="s">
        <v>264</v>
      </c>
      <c r="J21" s="7"/>
    </row>
    <row r="22" customFormat="false" ht="69" hidden="false" customHeight="true" outlineLevel="0" collapsed="false">
      <c r="A22" s="18" t="str">
        <f aca="false">IF(C22="","",C22&amp;COUNTIF($C$5:C22,C22))</f>
        <v>FR18</v>
      </c>
      <c r="B22" s="5" t="s">
        <v>321</v>
      </c>
      <c r="C22" s="5" t="s">
        <v>286</v>
      </c>
      <c r="D22" s="5"/>
      <c r="E22" s="5"/>
      <c r="F22" s="5"/>
      <c r="G22" s="5" t="s">
        <v>287</v>
      </c>
      <c r="H22" s="5" t="s">
        <v>322</v>
      </c>
      <c r="I22" s="5" t="s">
        <v>323</v>
      </c>
      <c r="J22" s="7"/>
    </row>
    <row r="23" customFormat="false" ht="69" hidden="false" customHeight="true" outlineLevel="0" collapsed="false">
      <c r="A23" s="18" t="str">
        <f aca="false">IF(C23="","",C23&amp;COUNTIF($C$5:C23,C23))</f>
        <v>FR19</v>
      </c>
      <c r="B23" s="5" t="s">
        <v>324</v>
      </c>
      <c r="C23" s="5" t="s">
        <v>286</v>
      </c>
      <c r="D23" s="5"/>
      <c r="E23" s="5"/>
      <c r="F23" s="5"/>
      <c r="G23" s="5" t="s">
        <v>287</v>
      </c>
      <c r="H23" s="5" t="s">
        <v>322</v>
      </c>
      <c r="I23" s="5" t="s">
        <v>325</v>
      </c>
      <c r="J23" s="7"/>
    </row>
    <row r="24" customFormat="false" ht="69" hidden="false" customHeight="true" outlineLevel="0" collapsed="false">
      <c r="A24" s="18" t="str">
        <f aca="false">IF(C24="","",C24&amp;COUNTIF($C$5:C24,C24))</f>
        <v>FR20</v>
      </c>
      <c r="B24" s="5" t="s">
        <v>326</v>
      </c>
      <c r="C24" s="5" t="s">
        <v>286</v>
      </c>
      <c r="D24" s="5"/>
      <c r="E24" s="5"/>
      <c r="F24" s="5"/>
      <c r="G24" s="5" t="s">
        <v>293</v>
      </c>
      <c r="H24" s="5" t="s">
        <v>327</v>
      </c>
      <c r="I24" s="5" t="s">
        <v>257</v>
      </c>
      <c r="J24" s="7"/>
    </row>
    <row r="25" customFormat="false" ht="55.5" hidden="false" customHeight="true" outlineLevel="0" collapsed="false">
      <c r="A25" s="18" t="str">
        <f aca="false">IF(C25="","",C25&amp;COUNTIF($C$5:C25,C25))</f>
        <v>FR21</v>
      </c>
      <c r="B25" s="5" t="s">
        <v>328</v>
      </c>
      <c r="C25" s="5" t="s">
        <v>286</v>
      </c>
      <c r="D25" s="5"/>
      <c r="E25" s="5"/>
      <c r="F25" s="5"/>
      <c r="G25" s="5" t="s">
        <v>293</v>
      </c>
      <c r="H25" s="5" t="s">
        <v>329</v>
      </c>
      <c r="I25" s="5" t="s">
        <v>257</v>
      </c>
      <c r="J25" s="7"/>
    </row>
    <row r="26" customFormat="false" ht="55.5" hidden="false" customHeight="true" outlineLevel="0" collapsed="false">
      <c r="A26" s="18" t="str">
        <f aca="false">IF(C26="","",C26&amp;COUNTIF($C$5:C26,C26))</f>
        <v>FR22</v>
      </c>
      <c r="B26" s="5" t="s">
        <v>330</v>
      </c>
      <c r="C26" s="5" t="s">
        <v>286</v>
      </c>
      <c r="D26" s="5"/>
      <c r="E26" s="5"/>
      <c r="F26" s="5"/>
      <c r="G26" s="5" t="s">
        <v>293</v>
      </c>
      <c r="H26" s="5" t="s">
        <v>331</v>
      </c>
      <c r="I26" s="5" t="s">
        <v>264</v>
      </c>
      <c r="J26" s="7"/>
    </row>
    <row r="27" customFormat="false" ht="69" hidden="false" customHeight="true" outlineLevel="0" collapsed="false">
      <c r="A27" s="18" t="str">
        <f aca="false">IF(C27="","",C27&amp;COUNTIF($C$5:C27,C27))</f>
        <v>NFR1</v>
      </c>
      <c r="B27" s="5" t="s">
        <v>332</v>
      </c>
      <c r="C27" s="5" t="s">
        <v>333</v>
      </c>
      <c r="D27" s="5" t="s">
        <v>334</v>
      </c>
      <c r="E27" s="5" t="s">
        <v>335</v>
      </c>
      <c r="F27" s="5" t="s">
        <v>336</v>
      </c>
      <c r="G27" s="5" t="s">
        <v>287</v>
      </c>
      <c r="H27" s="5" t="s">
        <v>337</v>
      </c>
      <c r="I27" s="5" t="s">
        <v>338</v>
      </c>
      <c r="J27" s="7"/>
    </row>
    <row r="28" customFormat="false" ht="81.75" hidden="false" customHeight="true" outlineLevel="0" collapsed="false">
      <c r="A28" s="18" t="str">
        <f aca="false">IF(C28="","",C28&amp;COUNTIF($C$5:C28,C28))</f>
        <v>NFR2</v>
      </c>
      <c r="B28" s="5" t="s">
        <v>339</v>
      </c>
      <c r="C28" s="5" t="s">
        <v>333</v>
      </c>
      <c r="D28" s="5" t="s">
        <v>334</v>
      </c>
      <c r="E28" s="5" t="s">
        <v>340</v>
      </c>
      <c r="F28" s="5" t="s">
        <v>341</v>
      </c>
      <c r="G28" s="5" t="s">
        <v>287</v>
      </c>
      <c r="H28" s="5" t="s">
        <v>316</v>
      </c>
      <c r="I28" s="5" t="s">
        <v>342</v>
      </c>
      <c r="J28" s="7"/>
    </row>
    <row r="29" customFormat="false" ht="55.5" hidden="false" customHeight="true" outlineLevel="0" collapsed="false">
      <c r="A29" s="18" t="str">
        <f aca="false">IF(C29="","",C29&amp;COUNTIF($C$5:C29,C29))</f>
        <v>NFR3</v>
      </c>
      <c r="B29" s="5" t="s">
        <v>343</v>
      </c>
      <c r="C29" s="5" t="s">
        <v>333</v>
      </c>
      <c r="D29" s="5" t="s">
        <v>334</v>
      </c>
      <c r="E29" s="5" t="s">
        <v>344</v>
      </c>
      <c r="F29" s="5" t="s">
        <v>345</v>
      </c>
      <c r="G29" s="5" t="s">
        <v>287</v>
      </c>
      <c r="H29" s="5" t="s">
        <v>346</v>
      </c>
      <c r="I29" s="5" t="s">
        <v>230</v>
      </c>
      <c r="J29" s="7"/>
    </row>
    <row r="30" customFormat="false" ht="81.75" hidden="false" customHeight="true" outlineLevel="0" collapsed="false">
      <c r="A30" s="18" t="str">
        <f aca="false">IF(C30="","",C30&amp;COUNTIF($C$5:C30,C30))</f>
        <v>NFR4</v>
      </c>
      <c r="B30" s="5" t="s">
        <v>347</v>
      </c>
      <c r="C30" s="5" t="s">
        <v>333</v>
      </c>
      <c r="D30" s="5" t="s">
        <v>334</v>
      </c>
      <c r="E30" s="5" t="s">
        <v>348</v>
      </c>
      <c r="F30" s="5" t="s">
        <v>349</v>
      </c>
      <c r="G30" s="5" t="s">
        <v>287</v>
      </c>
      <c r="H30" s="5" t="s">
        <v>350</v>
      </c>
      <c r="I30" s="5" t="s">
        <v>230</v>
      </c>
      <c r="J30" s="7"/>
    </row>
    <row r="31" customFormat="false" ht="55.5" hidden="false" customHeight="true" outlineLevel="0" collapsed="false">
      <c r="A31" s="18" t="str">
        <f aca="false">IF(C31="","",C31&amp;COUNTIF($C$5:C31,C31))</f>
        <v>NFR5</v>
      </c>
      <c r="B31" s="5" t="s">
        <v>351</v>
      </c>
      <c r="C31" s="5" t="s">
        <v>333</v>
      </c>
      <c r="D31" s="5" t="s">
        <v>352</v>
      </c>
      <c r="E31" s="5" t="s">
        <v>353</v>
      </c>
      <c r="F31" s="5" t="s">
        <v>354</v>
      </c>
      <c r="G31" s="5" t="s">
        <v>287</v>
      </c>
      <c r="H31" s="5" t="s">
        <v>322</v>
      </c>
      <c r="I31" s="5" t="s">
        <v>218</v>
      </c>
      <c r="J31" s="7"/>
    </row>
    <row r="32" customFormat="false" ht="42.75" hidden="false" customHeight="true" outlineLevel="0" collapsed="false">
      <c r="A32" s="18" t="str">
        <f aca="false">IF(C32="","",C32&amp;COUNTIF($C$5:C32,C32))</f>
        <v>NFR6</v>
      </c>
      <c r="B32" s="5" t="s">
        <v>355</v>
      </c>
      <c r="C32" s="5" t="s">
        <v>333</v>
      </c>
      <c r="D32" s="5" t="s">
        <v>352</v>
      </c>
      <c r="E32" s="5" t="s">
        <v>356</v>
      </c>
      <c r="F32" s="5" t="s">
        <v>357</v>
      </c>
      <c r="G32" s="5" t="s">
        <v>287</v>
      </c>
      <c r="H32" s="5" t="s">
        <v>350</v>
      </c>
      <c r="I32" s="5" t="s">
        <v>218</v>
      </c>
      <c r="J32" s="7"/>
    </row>
    <row r="33" customFormat="false" ht="55.5" hidden="false" customHeight="true" outlineLevel="0" collapsed="false">
      <c r="A33" s="18" t="str">
        <f aca="false">IF(C33="","",C33&amp;COUNTIF($C$5:C33,C33))</f>
        <v>NFR7</v>
      </c>
      <c r="B33" s="5" t="s">
        <v>358</v>
      </c>
      <c r="C33" s="5" t="s">
        <v>333</v>
      </c>
      <c r="D33" s="5" t="s">
        <v>359</v>
      </c>
      <c r="E33" s="5" t="s">
        <v>360</v>
      </c>
      <c r="F33" s="5" t="s">
        <v>361</v>
      </c>
      <c r="G33" s="5" t="s">
        <v>287</v>
      </c>
      <c r="H33" s="5" t="s">
        <v>291</v>
      </c>
      <c r="I33" s="5" t="s">
        <v>211</v>
      </c>
      <c r="J33" s="7"/>
    </row>
    <row r="34" customFormat="false" ht="30" hidden="false" customHeight="true" outlineLevel="0" collapsed="false">
      <c r="A34" s="18" t="str">
        <f aca="false">IF(C34="","",C34&amp;COUNTIF($C$5:C34,C34))</f>
        <v>NFR8</v>
      </c>
      <c r="B34" s="5" t="s">
        <v>362</v>
      </c>
      <c r="C34" s="5" t="s">
        <v>333</v>
      </c>
      <c r="D34" s="5" t="s">
        <v>359</v>
      </c>
      <c r="E34" s="5" t="s">
        <v>363</v>
      </c>
      <c r="F34" s="5" t="s">
        <v>364</v>
      </c>
      <c r="G34" s="5" t="s">
        <v>293</v>
      </c>
      <c r="H34" s="5" t="s">
        <v>365</v>
      </c>
      <c r="I34" s="5" t="s">
        <v>211</v>
      </c>
      <c r="J34" s="7"/>
    </row>
    <row r="35" customFormat="false" ht="42.75" hidden="false" customHeight="true" outlineLevel="0" collapsed="false">
      <c r="A35" s="18" t="str">
        <f aca="false">IF(C35="","",C35&amp;COUNTIF($C$5:C35,C35))</f>
        <v>NFR9</v>
      </c>
      <c r="B35" s="5" t="s">
        <v>366</v>
      </c>
      <c r="C35" s="5" t="s">
        <v>333</v>
      </c>
      <c r="D35" s="5" t="s">
        <v>359</v>
      </c>
      <c r="E35" s="5" t="s">
        <v>367</v>
      </c>
      <c r="F35" s="5" t="s">
        <v>361</v>
      </c>
      <c r="G35" s="5" t="s">
        <v>287</v>
      </c>
      <c r="H35" s="5" t="s">
        <v>365</v>
      </c>
      <c r="I35" s="5" t="s">
        <v>211</v>
      </c>
      <c r="J35" s="7"/>
    </row>
    <row r="36" customFormat="false" ht="55.5" hidden="false" customHeight="true" outlineLevel="0" collapsed="false">
      <c r="A36" s="18" t="str">
        <f aca="false">IF(C36="","",C36&amp;COUNTIF($C$5:C36,C36))</f>
        <v>NFR10</v>
      </c>
      <c r="B36" s="5" t="s">
        <v>368</v>
      </c>
      <c r="C36" s="5" t="s">
        <v>333</v>
      </c>
      <c r="D36" s="5" t="s">
        <v>359</v>
      </c>
      <c r="E36" s="5" t="s">
        <v>369</v>
      </c>
      <c r="F36" s="5" t="s">
        <v>370</v>
      </c>
      <c r="G36" s="5" t="s">
        <v>287</v>
      </c>
      <c r="H36" s="5" t="s">
        <v>298</v>
      </c>
      <c r="I36" s="5" t="s">
        <v>211</v>
      </c>
      <c r="J36" s="7"/>
    </row>
    <row r="37" customFormat="false" ht="55.5" hidden="false" customHeight="true" outlineLevel="0" collapsed="false">
      <c r="A37" s="18" t="str">
        <f aca="false">IF(C37="","",C37&amp;COUNTIF($C$5:C37,C37))</f>
        <v>NFR11</v>
      </c>
      <c r="B37" s="5" t="s">
        <v>371</v>
      </c>
      <c r="C37" s="5" t="s">
        <v>333</v>
      </c>
      <c r="D37" s="5" t="s">
        <v>359</v>
      </c>
      <c r="E37" s="5" t="s">
        <v>372</v>
      </c>
      <c r="F37" s="5" t="s">
        <v>373</v>
      </c>
      <c r="G37" s="5" t="s">
        <v>287</v>
      </c>
      <c r="H37" s="5" t="s">
        <v>374</v>
      </c>
      <c r="I37" s="5" t="s">
        <v>211</v>
      </c>
      <c r="J37" s="7"/>
    </row>
    <row r="38" customFormat="false" ht="42.75" hidden="false" customHeight="true" outlineLevel="0" collapsed="false">
      <c r="A38" s="18" t="str">
        <f aca="false">IF(C38="","",C38&amp;COUNTIF($C$5:C38,C38))</f>
        <v>NFR12</v>
      </c>
      <c r="B38" s="5" t="s">
        <v>375</v>
      </c>
      <c r="C38" s="5" t="s">
        <v>333</v>
      </c>
      <c r="D38" s="5" t="s">
        <v>359</v>
      </c>
      <c r="E38" s="5" t="s">
        <v>376</v>
      </c>
      <c r="F38" s="5" t="s">
        <v>377</v>
      </c>
      <c r="G38" s="5" t="s">
        <v>287</v>
      </c>
      <c r="H38" s="5" t="s">
        <v>378</v>
      </c>
      <c r="I38" s="5" t="s">
        <v>211</v>
      </c>
      <c r="J38" s="7"/>
    </row>
    <row r="39" customFormat="false" ht="55.5" hidden="false" customHeight="true" outlineLevel="0" collapsed="false">
      <c r="A39" s="18" t="str">
        <f aca="false">IF(C39="","",C39&amp;COUNTIF($C$5:C39,C39))</f>
        <v>NFR13</v>
      </c>
      <c r="B39" s="5" t="s">
        <v>379</v>
      </c>
      <c r="C39" s="5" t="s">
        <v>333</v>
      </c>
      <c r="D39" s="5" t="s">
        <v>359</v>
      </c>
      <c r="E39" s="5" t="s">
        <v>380</v>
      </c>
      <c r="F39" s="5" t="s">
        <v>381</v>
      </c>
      <c r="G39" s="5" t="s">
        <v>287</v>
      </c>
      <c r="H39" s="5" t="s">
        <v>306</v>
      </c>
      <c r="I39" s="5" t="s">
        <v>211</v>
      </c>
      <c r="J39" s="7"/>
    </row>
    <row r="40" customFormat="false" ht="69" hidden="false" customHeight="true" outlineLevel="0" collapsed="false">
      <c r="A40" s="18" t="str">
        <f aca="false">IF(C40="","",C40&amp;COUNTIF($C$5:C40,C40))</f>
        <v>NFR14</v>
      </c>
      <c r="B40" s="5" t="s">
        <v>382</v>
      </c>
      <c r="C40" s="5" t="s">
        <v>333</v>
      </c>
      <c r="D40" s="5" t="s">
        <v>359</v>
      </c>
      <c r="E40" s="5" t="s">
        <v>383</v>
      </c>
      <c r="F40" s="5" t="s">
        <v>384</v>
      </c>
      <c r="G40" s="5" t="s">
        <v>287</v>
      </c>
      <c r="H40" s="5" t="s">
        <v>385</v>
      </c>
      <c r="I40" s="5" t="s">
        <v>211</v>
      </c>
      <c r="J40" s="7"/>
    </row>
    <row r="41" customFormat="false" ht="55.5" hidden="false" customHeight="true" outlineLevel="0" collapsed="false">
      <c r="A41" s="18" t="str">
        <f aca="false">IF(C41="","",C41&amp;COUNTIF($C$5:C41,C41))</f>
        <v>NFR15</v>
      </c>
      <c r="B41" s="5" t="s">
        <v>386</v>
      </c>
      <c r="C41" s="5" t="s">
        <v>333</v>
      </c>
      <c r="D41" s="5" t="s">
        <v>237</v>
      </c>
      <c r="E41" s="5" t="s">
        <v>387</v>
      </c>
      <c r="F41" s="5" t="s">
        <v>388</v>
      </c>
      <c r="G41" s="5" t="s">
        <v>287</v>
      </c>
      <c r="H41" s="5" t="s">
        <v>298</v>
      </c>
      <c r="I41" s="5" t="s">
        <v>236</v>
      </c>
      <c r="J41" s="7"/>
    </row>
    <row r="42" customFormat="false" ht="69" hidden="false" customHeight="true" outlineLevel="0" collapsed="false">
      <c r="A42" s="18" t="str">
        <f aca="false">IF(C42="","",C42&amp;COUNTIF($C$5:C42,C42))</f>
        <v>NFR16</v>
      </c>
      <c r="B42" s="5" t="s">
        <v>389</v>
      </c>
      <c r="C42" s="5" t="s">
        <v>333</v>
      </c>
      <c r="D42" s="5" t="s">
        <v>237</v>
      </c>
      <c r="E42" s="5" t="s">
        <v>390</v>
      </c>
      <c r="F42" s="5" t="s">
        <v>391</v>
      </c>
      <c r="G42" s="5" t="s">
        <v>287</v>
      </c>
      <c r="H42" s="5" t="s">
        <v>378</v>
      </c>
      <c r="I42" s="5" t="s">
        <v>243</v>
      </c>
      <c r="J42" s="7"/>
    </row>
    <row r="43" customFormat="false" ht="55.5" hidden="false" customHeight="true" outlineLevel="0" collapsed="false">
      <c r="A43" s="18" t="str">
        <f aca="false">IF(C43="","",C43&amp;COUNTIF($C$5:C43,C43))</f>
        <v>NFR17</v>
      </c>
      <c r="B43" s="5" t="s">
        <v>392</v>
      </c>
      <c r="C43" s="5" t="s">
        <v>333</v>
      </c>
      <c r="D43" s="5" t="s">
        <v>237</v>
      </c>
      <c r="E43" s="5" t="s">
        <v>393</v>
      </c>
      <c r="F43" s="5" t="s">
        <v>394</v>
      </c>
      <c r="G43" s="5" t="s">
        <v>287</v>
      </c>
      <c r="H43" s="5" t="s">
        <v>395</v>
      </c>
      <c r="I43" s="5" t="s">
        <v>243</v>
      </c>
      <c r="J43" s="7"/>
    </row>
    <row r="44" customFormat="false" ht="69" hidden="false" customHeight="true" outlineLevel="0" collapsed="false">
      <c r="A44" s="18" t="str">
        <f aca="false">IF(C44="","",C44&amp;COUNTIF($C$5:C44,C44))</f>
        <v>NFR18</v>
      </c>
      <c r="B44" s="5" t="s">
        <v>396</v>
      </c>
      <c r="C44" s="5" t="s">
        <v>333</v>
      </c>
      <c r="D44" s="5" t="s">
        <v>397</v>
      </c>
      <c r="E44" s="5" t="s">
        <v>398</v>
      </c>
      <c r="F44" s="5" t="s">
        <v>399</v>
      </c>
      <c r="G44" s="5" t="s">
        <v>293</v>
      </c>
      <c r="H44" s="5" t="s">
        <v>365</v>
      </c>
      <c r="I44" s="5" t="s">
        <v>249</v>
      </c>
      <c r="J44" s="7"/>
    </row>
    <row r="45" customFormat="false" ht="55.5" hidden="false" customHeight="true" outlineLevel="0" collapsed="false">
      <c r="A45" s="18" t="str">
        <f aca="false">IF(C45="","",C45&amp;COUNTIF($C$5:C45,C45))</f>
        <v>NFR19</v>
      </c>
      <c r="B45" s="5" t="s">
        <v>400</v>
      </c>
      <c r="C45" s="5" t="s">
        <v>333</v>
      </c>
      <c r="D45" s="5" t="s">
        <v>397</v>
      </c>
      <c r="E45" s="5" t="s">
        <v>401</v>
      </c>
      <c r="F45" s="5" t="s">
        <v>402</v>
      </c>
      <c r="G45" s="5" t="s">
        <v>293</v>
      </c>
      <c r="H45" s="5" t="s">
        <v>365</v>
      </c>
      <c r="I45" s="5" t="s">
        <v>403</v>
      </c>
      <c r="J45" s="7"/>
    </row>
    <row r="46" customFormat="false" ht="42.75" hidden="false" customHeight="true" outlineLevel="0" collapsed="false">
      <c r="A46" s="18" t="str">
        <f aca="false">IF(C46="","",C46&amp;COUNTIF($C$5:C46,C46))</f>
        <v>NFR20</v>
      </c>
      <c r="B46" s="5" t="s">
        <v>404</v>
      </c>
      <c r="C46" s="5" t="s">
        <v>333</v>
      </c>
      <c r="D46" s="5" t="s">
        <v>405</v>
      </c>
      <c r="E46" s="5" t="s">
        <v>406</v>
      </c>
      <c r="F46" s="5" t="s">
        <v>407</v>
      </c>
      <c r="G46" s="5" t="s">
        <v>293</v>
      </c>
      <c r="H46" s="5" t="s">
        <v>408</v>
      </c>
      <c r="I46" s="5" t="s">
        <v>224</v>
      </c>
      <c r="J46" s="7"/>
    </row>
    <row r="47" customFormat="false" ht="55.5" hidden="false" customHeight="true" outlineLevel="0" collapsed="false">
      <c r="A47" s="18" t="str">
        <f aca="false">IF(C47="","",C47&amp;COUNTIF($C$5:C47,C47))</f>
        <v>DR1</v>
      </c>
      <c r="B47" s="5" t="s">
        <v>409</v>
      </c>
      <c r="C47" s="5" t="s">
        <v>410</v>
      </c>
      <c r="D47" s="5"/>
      <c r="E47" s="5"/>
      <c r="F47" s="5" t="s">
        <v>411</v>
      </c>
      <c r="G47" s="5" t="s">
        <v>287</v>
      </c>
      <c r="H47" s="5" t="s">
        <v>412</v>
      </c>
      <c r="I47" s="5" t="s">
        <v>114</v>
      </c>
      <c r="J47" s="7"/>
    </row>
    <row r="48" customFormat="false" ht="81.75" hidden="false" customHeight="true" outlineLevel="0" collapsed="false">
      <c r="A48" s="18" t="str">
        <f aca="false">IF(C48="","",C48&amp;COUNTIF($C$5:C48,C48))</f>
        <v>DR2</v>
      </c>
      <c r="B48" s="5" t="s">
        <v>413</v>
      </c>
      <c r="C48" s="5" t="s">
        <v>410</v>
      </c>
      <c r="D48" s="5"/>
      <c r="E48" s="5"/>
      <c r="F48" s="5" t="s">
        <v>414</v>
      </c>
      <c r="G48" s="5" t="s">
        <v>287</v>
      </c>
      <c r="H48" s="5" t="s">
        <v>291</v>
      </c>
      <c r="I48" s="5" t="s">
        <v>415</v>
      </c>
      <c r="J48" s="7"/>
    </row>
    <row r="49" customFormat="false" ht="69" hidden="false" customHeight="true" outlineLevel="0" collapsed="false">
      <c r="A49" s="18" t="str">
        <f aca="false">IF(C49="","",C49&amp;COUNTIF($C$5:C49,C49))</f>
        <v>DR3</v>
      </c>
      <c r="B49" s="5" t="s">
        <v>416</v>
      </c>
      <c r="C49" s="5" t="s">
        <v>410</v>
      </c>
      <c r="D49" s="5"/>
      <c r="E49" s="5"/>
      <c r="F49" s="5" t="s">
        <v>417</v>
      </c>
      <c r="G49" s="5" t="s">
        <v>287</v>
      </c>
      <c r="H49" s="5" t="s">
        <v>308</v>
      </c>
      <c r="I49" s="5" t="s">
        <v>126</v>
      </c>
      <c r="J49" s="7"/>
    </row>
    <row r="50" customFormat="false" ht="69" hidden="false" customHeight="true" outlineLevel="0" collapsed="false">
      <c r="A50" s="18" t="str">
        <f aca="false">IF(C50="","",C50&amp;COUNTIF($C$5:C50,C50))</f>
        <v>DR4</v>
      </c>
      <c r="B50" s="5" t="s">
        <v>418</v>
      </c>
      <c r="C50" s="5" t="s">
        <v>410</v>
      </c>
      <c r="D50" s="5"/>
      <c r="E50" s="5"/>
      <c r="F50" s="5" t="s">
        <v>419</v>
      </c>
      <c r="G50" s="5" t="s">
        <v>287</v>
      </c>
      <c r="H50" s="5" t="s">
        <v>308</v>
      </c>
      <c r="I50" s="5" t="s">
        <v>126</v>
      </c>
      <c r="J50" s="7"/>
    </row>
    <row r="51" customFormat="false" ht="55.5" hidden="false" customHeight="true" outlineLevel="0" collapsed="false">
      <c r="A51" s="18" t="str">
        <f aca="false">IF(C51="","",C51&amp;COUNTIF($C$5:C51,C51))</f>
        <v>DR5</v>
      </c>
      <c r="B51" s="5" t="s">
        <v>420</v>
      </c>
      <c r="C51" s="5" t="s">
        <v>410</v>
      </c>
      <c r="D51" s="5"/>
      <c r="E51" s="5"/>
      <c r="F51" s="5" t="s">
        <v>421</v>
      </c>
      <c r="G51" s="5" t="s">
        <v>287</v>
      </c>
      <c r="H51" s="5" t="s">
        <v>422</v>
      </c>
      <c r="I51" s="5" t="s">
        <v>423</v>
      </c>
      <c r="J51" s="7"/>
    </row>
    <row r="52" customFormat="false" ht="42.75" hidden="false" customHeight="true" outlineLevel="0" collapsed="false">
      <c r="A52" s="18" t="str">
        <f aca="false">IF(C52="","",C52&amp;COUNTIF($C$5:C52,C52))</f>
        <v>DR6</v>
      </c>
      <c r="B52" s="5" t="s">
        <v>424</v>
      </c>
      <c r="C52" s="5" t="s">
        <v>410</v>
      </c>
      <c r="D52" s="5"/>
      <c r="E52" s="5"/>
      <c r="F52" s="5" t="s">
        <v>425</v>
      </c>
      <c r="G52" s="5" t="s">
        <v>287</v>
      </c>
      <c r="H52" s="5" t="s">
        <v>301</v>
      </c>
      <c r="I52" s="5" t="s">
        <v>147</v>
      </c>
      <c r="J52" s="7"/>
    </row>
    <row r="53" customFormat="false" ht="69" hidden="false" customHeight="true" outlineLevel="0" collapsed="false">
      <c r="A53" s="18" t="str">
        <f aca="false">IF(C53="","",C53&amp;COUNTIF($C$5:C53,C53))</f>
        <v>DR7</v>
      </c>
      <c r="B53" s="5" t="s">
        <v>426</v>
      </c>
      <c r="C53" s="5" t="s">
        <v>410</v>
      </c>
      <c r="D53" s="5"/>
      <c r="E53" s="5"/>
      <c r="F53" s="5" t="s">
        <v>427</v>
      </c>
      <c r="G53" s="5" t="s">
        <v>287</v>
      </c>
      <c r="H53" s="5" t="s">
        <v>428</v>
      </c>
      <c r="I53" s="5" t="s">
        <v>304</v>
      </c>
      <c r="J53" s="7"/>
    </row>
    <row r="54" customFormat="false" ht="81.75" hidden="false" customHeight="true" outlineLevel="0" collapsed="false">
      <c r="A54" s="18" t="str">
        <f aca="false">IF(C54="","",C54&amp;COUNTIF($C$5:C54,C54))</f>
        <v>DR8</v>
      </c>
      <c r="B54" s="5" t="s">
        <v>429</v>
      </c>
      <c r="C54" s="5" t="s">
        <v>410</v>
      </c>
      <c r="D54" s="5"/>
      <c r="E54" s="5"/>
      <c r="F54" s="5" t="s">
        <v>430</v>
      </c>
      <c r="G54" s="5" t="s">
        <v>293</v>
      </c>
      <c r="H54" s="5" t="s">
        <v>320</v>
      </c>
      <c r="I54" s="5" t="s">
        <v>264</v>
      </c>
      <c r="J54" s="7"/>
    </row>
    <row r="56" customFormat="false" ht="15" hidden="false" customHeight="false" outlineLevel="0" collapsed="false">
      <c r="B56" s="10" t="s">
        <v>431</v>
      </c>
      <c r="C56" s="11" t="n">
        <f aca="false">COUNTIF(C5:C54,"FR")</f>
        <v>22</v>
      </c>
    </row>
    <row r="57" customFormat="false" ht="15" hidden="false" customHeight="false" outlineLevel="0" collapsed="false">
      <c r="B57" s="10" t="s">
        <v>432</v>
      </c>
      <c r="C57" s="11" t="n">
        <f aca="false">COUNTIF(C5:C54,"NFR")</f>
        <v>20</v>
      </c>
    </row>
    <row r="58" customFormat="false" ht="15" hidden="false" customHeight="false" outlineLevel="0" collapsed="false">
      <c r="B58" s="10" t="s">
        <v>433</v>
      </c>
      <c r="C58" s="11" t="n">
        <f aca="false">COUNTIF(C5:C54,"DR")</f>
        <v>8</v>
      </c>
    </row>
    <row r="59" customFormat="false" ht="15" hidden="false" customHeight="false" outlineLevel="0" collapsed="false">
      <c r="B59" s="10" t="s">
        <v>434</v>
      </c>
      <c r="C59" s="11" t="n">
        <f aca="false">COUNTIFS(C5:C54,"NFR",E5:E54,"")</f>
        <v>0</v>
      </c>
    </row>
    <row r="60" customFormat="false" ht="15" hidden="false" customHeight="false" outlineLevel="0" collapsed="false">
      <c r="B60" s="10" t="s">
        <v>435</v>
      </c>
      <c r="C60" s="11" t="n">
        <f aca="false">COUNTIF(D5:D54,"Reliability")</f>
        <v>4</v>
      </c>
    </row>
    <row r="61" customFormat="false" ht="15" hidden="false" customHeight="false" outlineLevel="0" collapsed="false">
      <c r="B61" s="10" t="s">
        <v>436</v>
      </c>
      <c r="C61" s="11" t="n">
        <f aca="false">COUNTIF(D5:D54,"Response time")</f>
        <v>8</v>
      </c>
    </row>
    <row r="62" customFormat="false" ht="25.5" hidden="false" customHeight="true" outlineLevel="0" collapsed="false">
      <c r="B62" s="10" t="s">
        <v>437</v>
      </c>
      <c r="C62" s="12" t="str">
        <f aca="false">IF(AND(C59=0,C60&gt;=1,C61&gt;=1),"OK","Check NFRs")</f>
        <v>OK</v>
      </c>
    </row>
  </sheetData>
  <conditionalFormatting sqref="E5:E54">
    <cfRule type="expression" priority="2" aboveAverage="0" equalAverage="0" bottom="0" percent="0" rank="0" text="" dxfId="0">
      <formula>AND($C5="NFR",$E5="",$B5&lt;&gt;"")</formula>
    </cfRule>
  </conditionalFormatting>
  <conditionalFormatting sqref="C62">
    <cfRule type="expression" priority="3" aboveAverage="0" equalAverage="0" bottom="0" percent="0" rank="0" text="" dxfId="0">
      <formula>C62&lt;&gt;"OK"</formula>
    </cfRule>
  </conditionalFormatting>
  <dataValidations count="3">
    <dataValidation allowBlank="true" error="Choose a value from the list." errorStyle="stop" operator="between" showDropDown="false" showErrorMessage="true" showInputMessage="false" sqref="C5:C54" type="list">
      <formula1>"FR,NFR,DR"</formula1>
      <formula2>0</formula2>
    </dataValidation>
    <dataValidation allowBlank="true" error="Choose a value from the list." errorStyle="stop" operator="between" showDropDown="false" showErrorMessage="true" showInputMessage="false" sqref="D5:D54" type="list">
      <formula1>"Reliability,Response time,Availability,Security,Usability,Capacity,Maintainability,Other"</formula1>
      <formula2>0</formula2>
    </dataValidation>
    <dataValidation allowBlank="true" error="Choose a value from the list." errorStyle="stop" operator="between" showDropDown="false" showErrorMessage="true" showInputMessage="false" sqref="G5:G54"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22"/>
    <col collapsed="false" customWidth="true" hidden="false" outlineLevel="0" max="4" min="4" style="0" width="44"/>
    <col collapsed="false" customWidth="true" hidden="false" outlineLevel="0" max="5" min="5" style="0" width="22"/>
    <col collapsed="false" customWidth="true" hidden="false" outlineLevel="0" max="7" min="6" style="0" width="14"/>
    <col collapsed="false" customWidth="true" hidden="false" outlineLevel="0" max="8" min="8" style="0" width="12"/>
    <col collapsed="false" customWidth="true" hidden="false" outlineLevel="0" max="9" min="9" style="0" width="26"/>
  </cols>
  <sheetData>
    <row r="1" customFormat="false" ht="19.5" hidden="false" customHeight="true" outlineLevel="0" collapsed="false">
      <c r="A1" s="1" t="s">
        <v>438</v>
      </c>
    </row>
    <row r="2" customFormat="false" ht="15" hidden="false" customHeight="false" outlineLevel="0" collapsed="false">
      <c r="A2" s="2" t="s">
        <v>439</v>
      </c>
    </row>
    <row r="4" customFormat="false" ht="33.75" hidden="false" customHeight="true" outlineLevel="0" collapsed="false">
      <c r="A4" s="8" t="s">
        <v>276</v>
      </c>
      <c r="B4" s="13" t="s">
        <v>283</v>
      </c>
      <c r="C4" s="13" t="s">
        <v>440</v>
      </c>
      <c r="D4" s="13" t="s">
        <v>441</v>
      </c>
      <c r="E4" s="13" t="s">
        <v>442</v>
      </c>
      <c r="F4" s="13" t="s">
        <v>443</v>
      </c>
      <c r="G4" s="13" t="s">
        <v>444</v>
      </c>
      <c r="H4" s="13" t="s">
        <v>445</v>
      </c>
      <c r="I4" s="17" t="s">
        <v>104</v>
      </c>
    </row>
    <row r="5" customFormat="false" ht="42.75" hidden="false" customHeight="true" outlineLevel="0" collapsed="false">
      <c r="A5" s="18" t="s">
        <v>288</v>
      </c>
      <c r="B5" s="5" t="s">
        <v>446</v>
      </c>
      <c r="C5" s="5" t="s">
        <v>253</v>
      </c>
      <c r="D5" s="5" t="s">
        <v>447</v>
      </c>
      <c r="E5" s="5" t="s">
        <v>448</v>
      </c>
      <c r="F5" s="5" t="s">
        <v>449</v>
      </c>
      <c r="G5" s="5"/>
      <c r="H5" s="5" t="s">
        <v>79</v>
      </c>
      <c r="I5" s="7"/>
    </row>
    <row r="6" customFormat="false" ht="30" hidden="false" customHeight="true" outlineLevel="0" collapsed="false">
      <c r="A6" s="18" t="s">
        <v>291</v>
      </c>
      <c r="B6" s="5" t="s">
        <v>450</v>
      </c>
      <c r="C6" s="5" t="s">
        <v>253</v>
      </c>
      <c r="D6" s="5" t="s">
        <v>451</v>
      </c>
      <c r="E6" s="5" t="s">
        <v>452</v>
      </c>
      <c r="F6" s="5" t="s">
        <v>449</v>
      </c>
      <c r="G6" s="5"/>
      <c r="H6" s="5" t="s">
        <v>79</v>
      </c>
      <c r="I6" s="7"/>
    </row>
    <row r="7" customFormat="false" ht="30" hidden="false" customHeight="true" outlineLevel="0" collapsed="false">
      <c r="A7" s="18" t="s">
        <v>298</v>
      </c>
      <c r="B7" s="5" t="s">
        <v>453</v>
      </c>
      <c r="C7" s="5" t="s">
        <v>253</v>
      </c>
      <c r="D7" s="5" t="s">
        <v>454</v>
      </c>
      <c r="E7" s="5" t="s">
        <v>455</v>
      </c>
      <c r="F7" s="5" t="s">
        <v>449</v>
      </c>
      <c r="G7" s="5"/>
      <c r="H7" s="5" t="s">
        <v>79</v>
      </c>
      <c r="I7" s="7"/>
    </row>
    <row r="8" customFormat="false" ht="30" hidden="false" customHeight="true" outlineLevel="0" collapsed="false">
      <c r="A8" s="18" t="s">
        <v>301</v>
      </c>
      <c r="B8" s="5" t="s">
        <v>456</v>
      </c>
      <c r="C8" s="5" t="s">
        <v>253</v>
      </c>
      <c r="D8" s="5" t="s">
        <v>457</v>
      </c>
      <c r="E8" s="5" t="s">
        <v>458</v>
      </c>
      <c r="F8" s="5" t="s">
        <v>449</v>
      </c>
      <c r="G8" s="5"/>
      <c r="H8" s="5" t="s">
        <v>79</v>
      </c>
      <c r="I8" s="7"/>
    </row>
    <row r="9" customFormat="false" ht="30" hidden="false" customHeight="true" outlineLevel="0" collapsed="false">
      <c r="A9" s="18" t="s">
        <v>303</v>
      </c>
      <c r="B9" s="5" t="s">
        <v>459</v>
      </c>
      <c r="C9" s="5" t="s">
        <v>253</v>
      </c>
      <c r="D9" s="5" t="s">
        <v>460</v>
      </c>
      <c r="E9" s="5" t="s">
        <v>461</v>
      </c>
      <c r="F9" s="5" t="s">
        <v>449</v>
      </c>
      <c r="G9" s="5"/>
      <c r="H9" s="5" t="s">
        <v>79</v>
      </c>
      <c r="I9" s="7"/>
    </row>
    <row r="10" customFormat="false" ht="30" hidden="false" customHeight="true" outlineLevel="0" collapsed="false">
      <c r="A10" s="18" t="s">
        <v>308</v>
      </c>
      <c r="B10" s="5" t="s">
        <v>462</v>
      </c>
      <c r="C10" s="5" t="s">
        <v>463</v>
      </c>
      <c r="D10" s="5" t="s">
        <v>464</v>
      </c>
      <c r="E10" s="5" t="s">
        <v>465</v>
      </c>
      <c r="F10" s="5" t="s">
        <v>449</v>
      </c>
      <c r="G10" s="5"/>
      <c r="H10" s="5" t="s">
        <v>79</v>
      </c>
      <c r="I10" s="7"/>
    </row>
    <row r="11" customFormat="false" ht="30" hidden="false" customHeight="true" outlineLevel="0" collapsed="false">
      <c r="A11" s="18" t="s">
        <v>310</v>
      </c>
      <c r="B11" s="5" t="s">
        <v>466</v>
      </c>
      <c r="C11" s="5" t="s">
        <v>253</v>
      </c>
      <c r="D11" s="5" t="s">
        <v>467</v>
      </c>
      <c r="E11" s="5" t="s">
        <v>190</v>
      </c>
      <c r="F11" s="5" t="s">
        <v>449</v>
      </c>
      <c r="G11" s="5"/>
      <c r="H11" s="5" t="s">
        <v>79</v>
      </c>
      <c r="I11" s="7"/>
    </row>
    <row r="12" customFormat="false" ht="42.75" hidden="false" customHeight="true" outlineLevel="0" collapsed="false">
      <c r="A12" s="18" t="s">
        <v>316</v>
      </c>
      <c r="B12" s="5" t="s">
        <v>468</v>
      </c>
      <c r="C12" s="5" t="s">
        <v>469</v>
      </c>
      <c r="D12" s="5" t="s">
        <v>470</v>
      </c>
      <c r="E12" s="5" t="s">
        <v>471</v>
      </c>
      <c r="F12" s="5" t="s">
        <v>449</v>
      </c>
      <c r="G12" s="5"/>
      <c r="H12" s="5" t="s">
        <v>79</v>
      </c>
      <c r="I12" s="7"/>
    </row>
    <row r="13" customFormat="false" ht="30" hidden="false" customHeight="true" outlineLevel="0" collapsed="false">
      <c r="A13" s="18" t="s">
        <v>329</v>
      </c>
      <c r="B13" s="5" t="s">
        <v>472</v>
      </c>
      <c r="C13" s="5" t="s">
        <v>473</v>
      </c>
      <c r="D13" s="5" t="s">
        <v>474</v>
      </c>
      <c r="E13" s="5" t="s">
        <v>475</v>
      </c>
      <c r="F13" s="5" t="s">
        <v>449</v>
      </c>
      <c r="G13" s="5"/>
      <c r="H13" s="5" t="s">
        <v>79</v>
      </c>
      <c r="I13" s="7"/>
    </row>
    <row r="14" customFormat="false" ht="30" hidden="false" customHeight="true" outlineLevel="0" collapsed="false">
      <c r="A14" s="18" t="s">
        <v>322</v>
      </c>
      <c r="B14" s="5" t="s">
        <v>476</v>
      </c>
      <c r="C14" s="5" t="s">
        <v>477</v>
      </c>
      <c r="D14" s="5" t="s">
        <v>478</v>
      </c>
      <c r="E14" s="5" t="s">
        <v>204</v>
      </c>
      <c r="F14" s="5" t="s">
        <v>449</v>
      </c>
      <c r="G14" s="5"/>
      <c r="H14" s="5" t="s">
        <v>79</v>
      </c>
      <c r="I14" s="7"/>
    </row>
    <row r="15" customFormat="false" ht="30" hidden="false" customHeight="true" outlineLevel="0" collapsed="false">
      <c r="A15" s="18" t="s">
        <v>327</v>
      </c>
      <c r="B15" s="5" t="s">
        <v>479</v>
      </c>
      <c r="C15" s="5" t="s">
        <v>480</v>
      </c>
      <c r="D15" s="5" t="s">
        <v>481</v>
      </c>
      <c r="E15" s="5" t="s">
        <v>482</v>
      </c>
      <c r="F15" s="5" t="s">
        <v>449</v>
      </c>
      <c r="G15" s="5"/>
      <c r="H15" s="5" t="s">
        <v>79</v>
      </c>
      <c r="I15" s="7"/>
    </row>
    <row r="16" customFormat="false" ht="30" hidden="false" customHeight="true" outlineLevel="0" collapsed="false">
      <c r="A16" s="18" t="s">
        <v>331</v>
      </c>
      <c r="B16" s="5" t="s">
        <v>483</v>
      </c>
      <c r="C16" s="5" t="s">
        <v>484</v>
      </c>
      <c r="D16" s="5" t="s">
        <v>485</v>
      </c>
      <c r="E16" s="5" t="s">
        <v>486</v>
      </c>
      <c r="F16" s="5" t="s">
        <v>449</v>
      </c>
      <c r="G16" s="5"/>
      <c r="H16" s="5" t="s">
        <v>79</v>
      </c>
      <c r="I16" s="7"/>
    </row>
  </sheetData>
  <dataValidations count="2">
    <dataValidation allowBlank="true" error="Choose a value from the list." errorStyle="stop" operator="between" showDropDown="false" showErrorMessage="true" showInputMessage="false" sqref="F5:F16" type="list">
      <formula1>"Yes,Partly,No"</formula1>
      <formula2>0</formula2>
    </dataValidation>
    <dataValidation allowBlank="true" error="Choose a value from the list." errorStyle="stop" operator="between" showDropDown="false" showErrorMessage="true" showInputMessage="false" sqref="G5:G16"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10"/>
    <col collapsed="false" customWidth="true" hidden="false" outlineLevel="0" max="4" min="4" style="0" width="22"/>
    <col collapsed="false" customWidth="true" hidden="false" outlineLevel="0" max="5" min="5" style="0" width="12"/>
    <col collapsed="false" customWidth="true" hidden="false" outlineLevel="0" max="6" min="6" style="0" width="34"/>
    <col collapsed="false" customWidth="true" hidden="false" outlineLevel="0" max="7" min="7" style="0" width="14"/>
    <col collapsed="false" customWidth="true" hidden="false" outlineLevel="0" max="8" min="8" style="0" width="12"/>
    <col collapsed="false" customWidth="true" hidden="false" outlineLevel="0" max="9" min="9" style="0" width="26"/>
  </cols>
  <sheetData>
    <row r="1" customFormat="false" ht="19.5" hidden="false" customHeight="true" outlineLevel="0" collapsed="false">
      <c r="A1" s="1" t="s">
        <v>37</v>
      </c>
    </row>
    <row r="2" customFormat="false" ht="15" hidden="false" customHeight="false" outlineLevel="0" collapsed="false">
      <c r="A2" s="2" t="s">
        <v>487</v>
      </c>
    </row>
    <row r="4" customFormat="false" ht="33.75" hidden="false" customHeight="true" outlineLevel="0" collapsed="false">
      <c r="A4" s="8" t="s">
        <v>488</v>
      </c>
      <c r="B4" s="8" t="s">
        <v>489</v>
      </c>
      <c r="C4" s="8" t="s">
        <v>490</v>
      </c>
      <c r="D4" s="13" t="s">
        <v>491</v>
      </c>
      <c r="E4" s="13" t="s">
        <v>445</v>
      </c>
      <c r="F4" s="13" t="s">
        <v>492</v>
      </c>
      <c r="G4" s="13" t="s">
        <v>103</v>
      </c>
      <c r="H4" s="8" t="s">
        <v>493</v>
      </c>
      <c r="I4" s="17" t="s">
        <v>104</v>
      </c>
    </row>
    <row r="5" customFormat="false" ht="25.5" hidden="false" customHeight="true" outlineLevel="0" collapsed="false">
      <c r="A5" s="20" t="s">
        <v>494</v>
      </c>
      <c r="B5" s="6" t="s">
        <v>495</v>
      </c>
      <c r="C5" s="11" t="n">
        <v>5</v>
      </c>
      <c r="D5" s="5" t="s">
        <v>496</v>
      </c>
      <c r="E5" s="5" t="s">
        <v>79</v>
      </c>
      <c r="F5" s="5" t="s">
        <v>497</v>
      </c>
      <c r="G5" s="5" t="s">
        <v>498</v>
      </c>
      <c r="H5" s="21" t="n">
        <f aca="false">IF(G5="","",IF(G5="Done",1,IF(G5="In review",0.75,IF(G5="Draft",0.4,0))))</f>
        <v>1</v>
      </c>
      <c r="I5" s="7"/>
    </row>
    <row r="6" customFormat="false" ht="25.5" hidden="false" customHeight="true" outlineLevel="0" collapsed="false">
      <c r="A6" s="20" t="s">
        <v>499</v>
      </c>
      <c r="B6" s="6" t="s">
        <v>500</v>
      </c>
      <c r="C6" s="11" t="n">
        <v>15</v>
      </c>
      <c r="D6" s="5" t="s">
        <v>501</v>
      </c>
      <c r="E6" s="5" t="s">
        <v>79</v>
      </c>
      <c r="F6" s="5" t="s">
        <v>502</v>
      </c>
      <c r="G6" s="5" t="s">
        <v>498</v>
      </c>
      <c r="H6" s="21" t="n">
        <f aca="false">IF(G6="","",IF(G6="Done",1,IF(G6="In review",0.75,IF(G6="Draft",0.4,0))))</f>
        <v>1</v>
      </c>
      <c r="I6" s="7"/>
    </row>
    <row r="7" customFormat="false" ht="25.5" hidden="false" customHeight="true" outlineLevel="0" collapsed="false">
      <c r="A7" s="20" t="s">
        <v>503</v>
      </c>
      <c r="B7" s="6" t="s">
        <v>504</v>
      </c>
      <c r="C7" s="11" t="n">
        <v>5</v>
      </c>
      <c r="D7" s="5"/>
      <c r="E7" s="5" t="s">
        <v>79</v>
      </c>
      <c r="F7" s="5" t="s">
        <v>505</v>
      </c>
      <c r="G7" s="5" t="s">
        <v>498</v>
      </c>
      <c r="H7" s="21" t="n">
        <f aca="false">IF(G7="","",IF(G7="Done",1,IF(G7="In review",0.75,IF(G7="Draft",0.4,0))))</f>
        <v>1</v>
      </c>
      <c r="I7" s="7"/>
    </row>
    <row r="8" customFormat="false" ht="25.5" hidden="false" customHeight="true" outlineLevel="0" collapsed="false">
      <c r="A8" s="20" t="s">
        <v>503</v>
      </c>
      <c r="B8" s="6" t="s">
        <v>506</v>
      </c>
      <c r="C8" s="11" t="n">
        <v>5</v>
      </c>
      <c r="D8" s="5"/>
      <c r="E8" s="5" t="s">
        <v>79</v>
      </c>
      <c r="F8" s="5" t="s">
        <v>507</v>
      </c>
      <c r="G8" s="5" t="s">
        <v>498</v>
      </c>
      <c r="H8" s="21" t="n">
        <f aca="false">IF(G8="","",IF(G8="Done",1,IF(G8="In review",0.75,IF(G8="Draft",0.4,0))))</f>
        <v>1</v>
      </c>
      <c r="I8" s="7"/>
    </row>
    <row r="9" customFormat="false" ht="25.5" hidden="false" customHeight="true" outlineLevel="0" collapsed="false">
      <c r="A9" s="20" t="s">
        <v>508</v>
      </c>
      <c r="B9" s="6" t="s">
        <v>509</v>
      </c>
      <c r="C9" s="11" t="n">
        <v>5</v>
      </c>
      <c r="D9" s="5"/>
      <c r="E9" s="5" t="s">
        <v>87</v>
      </c>
      <c r="F9" s="5" t="s">
        <v>510</v>
      </c>
      <c r="G9" s="5" t="s">
        <v>498</v>
      </c>
      <c r="H9" s="21" t="n">
        <f aca="false">IF(G9="","",IF(G9="Done",1,IF(G9="In review",0.75,IF(G9="Draft",0.4,0))))</f>
        <v>1</v>
      </c>
      <c r="I9" s="7"/>
    </row>
    <row r="10" customFormat="false" ht="25.5" hidden="false" customHeight="true" outlineLevel="0" collapsed="false">
      <c r="A10" s="20" t="s">
        <v>508</v>
      </c>
      <c r="B10" s="6" t="s">
        <v>511</v>
      </c>
      <c r="C10" s="11" t="n">
        <v>5</v>
      </c>
      <c r="D10" s="5"/>
      <c r="E10" s="5" t="s">
        <v>87</v>
      </c>
      <c r="F10" s="5" t="s">
        <v>512</v>
      </c>
      <c r="G10" s="5" t="s">
        <v>498</v>
      </c>
      <c r="H10" s="21" t="n">
        <f aca="false">IF(G10="","",IF(G10="Done",1,IF(G10="In review",0.75,IF(G10="Draft",0.4,0))))</f>
        <v>1</v>
      </c>
      <c r="I10" s="7"/>
    </row>
    <row r="11" customFormat="false" ht="25.5" hidden="false" customHeight="true" outlineLevel="0" collapsed="false">
      <c r="A11" s="20" t="s">
        <v>513</v>
      </c>
      <c r="B11" s="6" t="s">
        <v>514</v>
      </c>
      <c r="C11" s="11" t="n">
        <v>5</v>
      </c>
      <c r="D11" s="5"/>
      <c r="E11" s="5" t="s">
        <v>87</v>
      </c>
      <c r="F11" s="5" t="s">
        <v>515</v>
      </c>
      <c r="G11" s="5" t="s">
        <v>498</v>
      </c>
      <c r="H11" s="21" t="n">
        <f aca="false">IF(G11="","",IF(G11="Done",1,IF(G11="In review",0.75,IF(G11="Draft",0.4,0))))</f>
        <v>1</v>
      </c>
      <c r="I11" s="7"/>
    </row>
    <row r="12" customFormat="false" ht="25.5" hidden="false" customHeight="true" outlineLevel="0" collapsed="false">
      <c r="A12" s="20" t="s">
        <v>513</v>
      </c>
      <c r="B12" s="6" t="s">
        <v>516</v>
      </c>
      <c r="C12" s="11" t="n">
        <v>5</v>
      </c>
      <c r="D12" s="5"/>
      <c r="E12" s="5" t="s">
        <v>79</v>
      </c>
      <c r="F12" s="5" t="s">
        <v>517</v>
      </c>
      <c r="G12" s="5" t="s">
        <v>498</v>
      </c>
      <c r="H12" s="21" t="n">
        <f aca="false">IF(G12="","",IF(G12="Done",1,IF(G12="In review",0.75,IF(G12="Draft",0.4,0))))</f>
        <v>1</v>
      </c>
      <c r="I12" s="7"/>
    </row>
    <row r="13" customFormat="false" ht="25.5" hidden="false" customHeight="true" outlineLevel="0" collapsed="false">
      <c r="A13" s="20" t="s">
        <v>513</v>
      </c>
      <c r="B13" s="6" t="s">
        <v>518</v>
      </c>
      <c r="C13" s="11" t="n">
        <v>5</v>
      </c>
      <c r="D13" s="5" t="s">
        <v>519</v>
      </c>
      <c r="E13" s="5" t="s">
        <v>83</v>
      </c>
      <c r="F13" s="5" t="s">
        <v>520</v>
      </c>
      <c r="G13" s="5" t="s">
        <v>498</v>
      </c>
      <c r="H13" s="21" t="n">
        <f aca="false">IF(G13="","",IF(G13="Done",1,IF(G13="In review",0.75,IF(G13="Draft",0.4,0))))</f>
        <v>1</v>
      </c>
      <c r="I13" s="7"/>
    </row>
    <row r="14" customFormat="false" ht="25.5" hidden="false" customHeight="true" outlineLevel="0" collapsed="false">
      <c r="A14" s="20" t="s">
        <v>521</v>
      </c>
      <c r="B14" s="6" t="s">
        <v>522</v>
      </c>
      <c r="C14" s="11" t="n">
        <v>5</v>
      </c>
      <c r="D14" s="5" t="s">
        <v>523</v>
      </c>
      <c r="E14" s="5"/>
      <c r="F14" s="5" t="s">
        <v>524</v>
      </c>
      <c r="G14" s="5" t="s">
        <v>498</v>
      </c>
      <c r="H14" s="21" t="n">
        <f aca="false">IF(G14="","",IF(G14="Done",1,IF(G14="In review",0.75,IF(G14="Draft",0.4,0))))</f>
        <v>1</v>
      </c>
      <c r="I14" s="7"/>
    </row>
    <row r="15" customFormat="false" ht="25.5" hidden="false" customHeight="true" outlineLevel="0" collapsed="false">
      <c r="A15" s="20" t="s">
        <v>525</v>
      </c>
      <c r="B15" s="6" t="s">
        <v>526</v>
      </c>
      <c r="C15" s="11" t="n">
        <v>5</v>
      </c>
      <c r="D15" s="5"/>
      <c r="E15" s="5" t="s">
        <v>83</v>
      </c>
      <c r="F15" s="5" t="s">
        <v>527</v>
      </c>
      <c r="G15" s="5" t="s">
        <v>498</v>
      </c>
      <c r="H15" s="21" t="n">
        <f aca="false">IF(G15="","",IF(G15="Done",1,IF(G15="In review",0.75,IF(G15="Draft",0.4,0))))</f>
        <v>1</v>
      </c>
      <c r="I15" s="7"/>
    </row>
    <row r="16" customFormat="false" ht="25.5" hidden="false" customHeight="true" outlineLevel="0" collapsed="false">
      <c r="A16" s="20" t="s">
        <v>525</v>
      </c>
      <c r="B16" s="6" t="s">
        <v>528</v>
      </c>
      <c r="C16" s="11" t="n">
        <v>5</v>
      </c>
      <c r="D16" s="5"/>
      <c r="E16" s="5" t="s">
        <v>83</v>
      </c>
      <c r="F16" s="5" t="s">
        <v>529</v>
      </c>
      <c r="G16" s="5" t="s">
        <v>498</v>
      </c>
      <c r="H16" s="21" t="n">
        <f aca="false">IF(G16="","",IF(G16="Done",1,IF(G16="In review",0.75,IF(G16="Draft",0.4,0))))</f>
        <v>1</v>
      </c>
      <c r="I16" s="7"/>
    </row>
    <row r="17" customFormat="false" ht="25.5" hidden="false" customHeight="true" outlineLevel="0" collapsed="false">
      <c r="A17" s="20" t="s">
        <v>530</v>
      </c>
      <c r="B17" s="6" t="s">
        <v>531</v>
      </c>
      <c r="C17" s="11" t="n">
        <v>4</v>
      </c>
      <c r="D17" s="5" t="s">
        <v>519</v>
      </c>
      <c r="E17" s="5" t="s">
        <v>87</v>
      </c>
      <c r="F17" s="5" t="s">
        <v>532</v>
      </c>
      <c r="G17" s="5" t="s">
        <v>498</v>
      </c>
      <c r="H17" s="21" t="n">
        <f aca="false">IF(G17="","",IF(G17="Done",1,IF(G17="In review",0.75,IF(G17="Draft",0.4,0))))</f>
        <v>1</v>
      </c>
      <c r="I17" s="7"/>
    </row>
    <row r="18" customFormat="false" ht="25.5" hidden="false" customHeight="true" outlineLevel="0" collapsed="false">
      <c r="A18" s="20" t="s">
        <v>530</v>
      </c>
      <c r="B18" s="6" t="s">
        <v>533</v>
      </c>
      <c r="C18" s="11" t="n">
        <v>3</v>
      </c>
      <c r="D18" s="5" t="s">
        <v>519</v>
      </c>
      <c r="E18" s="5" t="s">
        <v>87</v>
      </c>
      <c r="F18" s="5" t="s">
        <v>534</v>
      </c>
      <c r="G18" s="5" t="s">
        <v>498</v>
      </c>
      <c r="H18" s="21" t="n">
        <f aca="false">IF(G18="","",IF(G18="Done",1,IF(G18="In review",0.75,IF(G18="Draft",0.4,0))))</f>
        <v>1</v>
      </c>
      <c r="I18" s="7"/>
    </row>
    <row r="19" customFormat="false" ht="25.5" hidden="false" customHeight="true" outlineLevel="0" collapsed="false">
      <c r="A19" s="20" t="s">
        <v>530</v>
      </c>
      <c r="B19" s="6" t="s">
        <v>535</v>
      </c>
      <c r="C19" s="11" t="n">
        <v>3</v>
      </c>
      <c r="D19" s="5" t="s">
        <v>519</v>
      </c>
      <c r="E19" s="5" t="s">
        <v>87</v>
      </c>
      <c r="F19" s="5" t="s">
        <v>536</v>
      </c>
      <c r="G19" s="5" t="s">
        <v>537</v>
      </c>
      <c r="H19" s="21" t="n">
        <f aca="false">IF(G19="","",IF(G19="Done",1,IF(G19="In review",0.75,IF(G19="Draft",0.4,0))))</f>
        <v>0.4</v>
      </c>
      <c r="I19" s="7"/>
    </row>
    <row r="20" customFormat="false" ht="25.5" hidden="false" customHeight="true" outlineLevel="0" collapsed="false">
      <c r="A20" s="20" t="s">
        <v>538</v>
      </c>
      <c r="B20" s="6" t="s">
        <v>539</v>
      </c>
      <c r="C20" s="11" t="n">
        <v>5</v>
      </c>
      <c r="D20" s="5" t="s">
        <v>540</v>
      </c>
      <c r="E20" s="5"/>
      <c r="F20" s="5" t="s">
        <v>66</v>
      </c>
      <c r="G20" s="5" t="s">
        <v>537</v>
      </c>
      <c r="H20" s="21" t="n">
        <f aca="false">IF(G20="","",IF(G20="Done",1,IF(G20="In review",0.75,IF(G20="Draft",0.4,0))))</f>
        <v>0.4</v>
      </c>
      <c r="I20" s="7"/>
    </row>
    <row r="21" customFormat="false" ht="25.5" hidden="false" customHeight="true" outlineLevel="0" collapsed="false">
      <c r="A21" s="20" t="s">
        <v>538</v>
      </c>
      <c r="B21" s="6" t="s">
        <v>541</v>
      </c>
      <c r="C21" s="11" t="n">
        <v>5</v>
      </c>
      <c r="D21" s="5" t="s">
        <v>542</v>
      </c>
      <c r="E21" s="5" t="s">
        <v>87</v>
      </c>
      <c r="F21" s="5" t="s">
        <v>543</v>
      </c>
      <c r="G21" s="5" t="s">
        <v>498</v>
      </c>
      <c r="H21" s="21" t="n">
        <f aca="false">IF(G21="","",IF(G21="Done",1,IF(G21="In review",0.75,IF(G21="Draft",0.4,0))))</f>
        <v>1</v>
      </c>
      <c r="I21" s="7"/>
    </row>
    <row r="22" customFormat="false" ht="25.5" hidden="false" customHeight="true" outlineLevel="0" collapsed="false">
      <c r="A22" s="20" t="s">
        <v>544</v>
      </c>
      <c r="B22" s="6" t="s">
        <v>545</v>
      </c>
      <c r="C22" s="11" t="n">
        <v>4</v>
      </c>
      <c r="D22" s="5" t="s">
        <v>546</v>
      </c>
      <c r="E22" s="5" t="s">
        <v>83</v>
      </c>
      <c r="F22" s="5" t="s">
        <v>547</v>
      </c>
      <c r="G22" s="5" t="s">
        <v>498</v>
      </c>
      <c r="H22" s="21" t="n">
        <f aca="false">IF(G22="","",IF(G22="Done",1,IF(G22="In review",0.75,IF(G22="Draft",0.4,0))))</f>
        <v>1</v>
      </c>
      <c r="I22" s="7"/>
    </row>
    <row r="23" customFormat="false" ht="25.5" hidden="false" customHeight="true" outlineLevel="0" collapsed="false">
      <c r="A23" s="20" t="s">
        <v>544</v>
      </c>
      <c r="B23" s="6" t="s">
        <v>548</v>
      </c>
      <c r="C23" s="11" t="n">
        <v>3</v>
      </c>
      <c r="D23" s="5" t="s">
        <v>549</v>
      </c>
      <c r="E23" s="5" t="s">
        <v>83</v>
      </c>
      <c r="F23" s="5" t="s">
        <v>550</v>
      </c>
      <c r="G23" s="5" t="s">
        <v>498</v>
      </c>
      <c r="H23" s="21" t="n">
        <f aca="false">IF(G23="","",IF(G23="Done",1,IF(G23="In review",0.75,IF(G23="Draft",0.4,0))))</f>
        <v>1</v>
      </c>
      <c r="I23" s="7"/>
    </row>
    <row r="24" customFormat="false" ht="25.5" hidden="false" customHeight="true" outlineLevel="0" collapsed="false">
      <c r="A24" s="20" t="s">
        <v>544</v>
      </c>
      <c r="B24" s="6" t="s">
        <v>551</v>
      </c>
      <c r="C24" s="11" t="n">
        <v>3</v>
      </c>
      <c r="D24" s="5" t="s">
        <v>552</v>
      </c>
      <c r="E24" s="5" t="s">
        <v>83</v>
      </c>
      <c r="F24" s="5" t="s">
        <v>553</v>
      </c>
      <c r="G24" s="5" t="s">
        <v>498</v>
      </c>
      <c r="H24" s="21" t="n">
        <f aca="false">IF(G24="","",IF(G24="Done",1,IF(G24="In review",0.75,IF(G24="Draft",0.4,0))))</f>
        <v>1</v>
      </c>
      <c r="I24" s="7"/>
    </row>
    <row r="25" customFormat="false" ht="25.5" hidden="false" customHeight="true" outlineLevel="0" collapsed="false">
      <c r="A25" s="20" t="s">
        <v>57</v>
      </c>
      <c r="B25" s="6" t="s">
        <v>554</v>
      </c>
      <c r="C25" s="11" t="n">
        <v>0</v>
      </c>
      <c r="D25" s="5" t="s">
        <v>555</v>
      </c>
      <c r="E25" s="5"/>
      <c r="F25" s="5" t="s">
        <v>554</v>
      </c>
      <c r="G25" s="5" t="s">
        <v>498</v>
      </c>
      <c r="H25" s="21" t="n">
        <f aca="false">IF(G25="","",IF(G25="Done",1,IF(G25="In review",0.75,IF(G25="Draft",0.4,0))))</f>
        <v>1</v>
      </c>
      <c r="I25" s="7"/>
    </row>
    <row r="26" customFormat="false" ht="25.5" hidden="false" customHeight="true" outlineLevel="0" collapsed="false">
      <c r="A26" s="20" t="s">
        <v>57</v>
      </c>
      <c r="B26" s="6" t="s">
        <v>556</v>
      </c>
      <c r="C26" s="11" t="n">
        <v>0</v>
      </c>
      <c r="D26" s="5"/>
      <c r="E26" s="5"/>
      <c r="F26" s="5" t="s">
        <v>557</v>
      </c>
      <c r="G26" s="5" t="s">
        <v>498</v>
      </c>
      <c r="H26" s="21" t="n">
        <f aca="false">IF(G26="","",IF(G26="Done",1,IF(G26="In review",0.75,IF(G26="Draft",0.4,0))))</f>
        <v>1</v>
      </c>
      <c r="I26" s="7"/>
    </row>
    <row r="27" customFormat="false" ht="25.5" hidden="false" customHeight="true" outlineLevel="0" collapsed="false">
      <c r="A27" s="20" t="s">
        <v>57</v>
      </c>
      <c r="B27" s="6" t="s">
        <v>558</v>
      </c>
      <c r="C27" s="11" t="n">
        <v>0</v>
      </c>
      <c r="D27" s="5"/>
      <c r="E27" s="5"/>
      <c r="F27" s="5" t="s">
        <v>559</v>
      </c>
      <c r="G27" s="5" t="s">
        <v>498</v>
      </c>
      <c r="H27" s="21" t="n">
        <f aca="false">IF(G27="","",IF(G27="Done",1,IF(G27="In review",0.75,IF(G27="Draft",0.4,0))))</f>
        <v>1</v>
      </c>
      <c r="I27" s="7"/>
    </row>
    <row r="29" customFormat="false" ht="15" hidden="false" customHeight="false" outlineLevel="0" collapsed="false">
      <c r="B29" s="10" t="s">
        <v>560</v>
      </c>
      <c r="C29" s="21" t="n">
        <f aca="false">IFERROR(AVERAGE(H5:H27),"")</f>
        <v>0.947826086956522</v>
      </c>
    </row>
    <row r="30" customFormat="false" ht="15" hidden="false" customHeight="false" outlineLevel="0" collapsed="false">
      <c r="B30" s="10" t="s">
        <v>561</v>
      </c>
      <c r="C30" s="11" t="str">
        <f aca="false">COUNTIF(G5:G27,"Done")&amp;" of 23"</f>
        <v>21 of 23</v>
      </c>
    </row>
    <row r="32" customFormat="false" ht="15" hidden="false" customHeight="false" outlineLevel="0" collapsed="false">
      <c r="A32" s="16" t="s">
        <v>562</v>
      </c>
    </row>
  </sheetData>
  <dataValidations count="1">
    <dataValidation allowBlank="true" error="Choose a value from the list." errorStyle="stop" operator="between" showDropDown="false" showErrorMessage="true" showInputMessage="false" sqref="G5:G27" type="list">
      <formula1>"Not started,Draft,In review,Done"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7"/>
    <col collapsed="false" customWidth="true" hidden="false" outlineLevel="0" max="2" min="2" style="0" width="66"/>
    <col collapsed="false" customWidth="true" hidden="false" outlineLevel="0" max="3" min="3" style="0" width="26"/>
    <col collapsed="false" customWidth="true" hidden="false" outlineLevel="0" max="5" min="4" style="0" width="14"/>
    <col collapsed="false" customWidth="true" hidden="false" outlineLevel="0" max="6" min="6" style="0" width="30"/>
  </cols>
  <sheetData>
    <row r="1" customFormat="false" ht="19.5" hidden="false" customHeight="true" outlineLevel="0" collapsed="false">
      <c r="A1" s="1" t="s">
        <v>563</v>
      </c>
    </row>
    <row r="2" customFormat="false" ht="15" hidden="false" customHeight="false" outlineLevel="0" collapsed="false">
      <c r="A2" s="2" t="s">
        <v>564</v>
      </c>
    </row>
    <row r="4" customFormat="false" ht="15" hidden="false" customHeight="false" outlineLevel="0" collapsed="false">
      <c r="A4" s="8" t="s">
        <v>565</v>
      </c>
      <c r="B4" s="8" t="s">
        <v>76</v>
      </c>
      <c r="C4" s="8" t="s">
        <v>566</v>
      </c>
      <c r="D4" s="13" t="s">
        <v>567</v>
      </c>
      <c r="E4" s="17" t="s">
        <v>568</v>
      </c>
      <c r="F4" s="8" t="s">
        <v>569</v>
      </c>
    </row>
    <row r="5" customFormat="false" ht="30" hidden="false" customHeight="true" outlineLevel="0" collapsed="false">
      <c r="A5" s="11" t="n">
        <v>1</v>
      </c>
      <c r="B5" s="6" t="s">
        <v>570</v>
      </c>
      <c r="C5" s="6" t="s">
        <v>571</v>
      </c>
      <c r="D5" s="22" t="s">
        <v>449</v>
      </c>
      <c r="E5" s="23"/>
      <c r="F5" s="24" t="s">
        <v>572</v>
      </c>
    </row>
    <row r="6" customFormat="false" ht="30" hidden="false" customHeight="true" outlineLevel="0" collapsed="false">
      <c r="A6" s="11" t="n">
        <v>2</v>
      </c>
      <c r="B6" s="6" t="s">
        <v>573</v>
      </c>
      <c r="C6" s="6" t="s">
        <v>574</v>
      </c>
      <c r="D6" s="22" t="s">
        <v>449</v>
      </c>
      <c r="E6" s="23"/>
      <c r="F6" s="24" t="s">
        <v>572</v>
      </c>
    </row>
    <row r="7" customFormat="false" ht="30" hidden="false" customHeight="true" outlineLevel="0" collapsed="false">
      <c r="A7" s="11" t="n">
        <v>3</v>
      </c>
      <c r="B7" s="6" t="s">
        <v>575</v>
      </c>
      <c r="C7" s="6" t="s">
        <v>576</v>
      </c>
      <c r="D7" s="22" t="s">
        <v>449</v>
      </c>
      <c r="E7" s="23"/>
      <c r="F7" s="24" t="s">
        <v>572</v>
      </c>
    </row>
    <row r="8" customFormat="false" ht="30" hidden="false" customHeight="true" outlineLevel="0" collapsed="false">
      <c r="A8" s="11" t="n">
        <v>4</v>
      </c>
      <c r="B8" s="6" t="s">
        <v>577</v>
      </c>
      <c r="C8" s="6" t="s">
        <v>578</v>
      </c>
      <c r="D8" s="22" t="s">
        <v>449</v>
      </c>
      <c r="E8" s="23"/>
      <c r="F8" s="24" t="s">
        <v>572</v>
      </c>
    </row>
    <row r="9" customFormat="false" ht="30" hidden="false" customHeight="true" outlineLevel="0" collapsed="false">
      <c r="A9" s="11" t="n">
        <v>5</v>
      </c>
      <c r="B9" s="6" t="s">
        <v>579</v>
      </c>
      <c r="C9" s="6" t="s">
        <v>580</v>
      </c>
      <c r="D9" s="22" t="s">
        <v>449</v>
      </c>
      <c r="E9" s="23"/>
      <c r="F9" s="24" t="s">
        <v>572</v>
      </c>
    </row>
    <row r="10" customFormat="false" ht="30" hidden="false" customHeight="true" outlineLevel="0" collapsed="false">
      <c r="A10" s="11" t="n">
        <v>6</v>
      </c>
      <c r="B10" s="6" t="s">
        <v>581</v>
      </c>
      <c r="C10" s="6" t="s">
        <v>582</v>
      </c>
      <c r="D10" s="22" t="s">
        <v>449</v>
      </c>
      <c r="E10" s="23"/>
      <c r="F10" s="24" t="s">
        <v>572</v>
      </c>
    </row>
    <row r="11" customFormat="false" ht="30" hidden="false" customHeight="true" outlineLevel="0" collapsed="false">
      <c r="A11" s="11" t="n">
        <v>7</v>
      </c>
      <c r="B11" s="6" t="s">
        <v>583</v>
      </c>
      <c r="C11" s="6" t="s">
        <v>584</v>
      </c>
      <c r="D11" s="22" t="s">
        <v>449</v>
      </c>
      <c r="E11" s="23"/>
      <c r="F11" s="24" t="s">
        <v>572</v>
      </c>
    </row>
    <row r="12" customFormat="false" ht="30" hidden="false" customHeight="true" outlineLevel="0" collapsed="false">
      <c r="A12" s="11" t="n">
        <v>8</v>
      </c>
      <c r="B12" s="6" t="s">
        <v>585</v>
      </c>
      <c r="C12" s="6" t="s">
        <v>586</v>
      </c>
      <c r="D12" s="22"/>
      <c r="E12" s="23"/>
      <c r="F12" s="24"/>
    </row>
    <row r="13" customFormat="false" ht="30" hidden="false" customHeight="true" outlineLevel="0" collapsed="false">
      <c r="A13" s="11" t="n">
        <v>9</v>
      </c>
      <c r="B13" s="6" t="s">
        <v>587</v>
      </c>
      <c r="C13" s="6" t="s">
        <v>588</v>
      </c>
      <c r="D13" s="22"/>
      <c r="E13" s="23"/>
      <c r="F13" s="24"/>
    </row>
    <row r="14" customFormat="false" ht="30" hidden="false" customHeight="true" outlineLevel="0" collapsed="false">
      <c r="A14" s="11" t="n">
        <v>10</v>
      </c>
      <c r="B14" s="6" t="s">
        <v>589</v>
      </c>
      <c r="C14" s="6" t="s">
        <v>590</v>
      </c>
      <c r="D14" s="22"/>
      <c r="E14" s="23"/>
      <c r="F14" s="24"/>
    </row>
  </sheetData>
  <conditionalFormatting sqref="D5:E14">
    <cfRule type="cellIs" priority="2" operator="equal" aboveAverage="0" equalAverage="0" bottom="0" percent="0" rank="0" text="" dxfId="1">
      <formula>"Yes"</formula>
    </cfRule>
    <cfRule type="cellIs" priority="3" operator="equal" aboveAverage="0" equalAverage="0" bottom="0" percent="0" rank="0" text="" dxfId="2">
      <formula>"Partly"</formula>
    </cfRule>
    <cfRule type="cellIs" priority="4" operator="equal" aboveAverage="0" equalAverage="0" bottom="0" percent="0" rank="0" text="" dxfId="3">
      <formula>"No"</formula>
    </cfRule>
  </conditionalFormatting>
  <dataValidations count="1">
    <dataValidation allowBlank="true" errorStyle="stop" operator="between" showDropDown="false" showErrorMessage="false" showInputMessage="false" sqref="D5:E14" type="list">
      <formula1>"Yes,Partly,No"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6"/>
    <col collapsed="false" customWidth="true" hidden="false" outlineLevel="0" max="3" min="2" style="0" width="12"/>
    <col collapsed="false" customWidth="true" hidden="false" outlineLevel="0" max="4" min="4" style="0" width="16"/>
    <col collapsed="false" customWidth="true" hidden="false" outlineLevel="0" max="5" min="5" style="0" width="24"/>
    <col collapsed="false" customWidth="true" hidden="false" outlineLevel="0" max="6" min="6" style="0" width="44"/>
    <col collapsed="false" customWidth="true" hidden="false" outlineLevel="0" max="7" min="7" style="0" width="34"/>
    <col collapsed="false" customWidth="true" hidden="false" outlineLevel="0" max="8" min="8" style="0" width="14"/>
    <col collapsed="false" customWidth="true" hidden="false" outlineLevel="0" max="9" min="9" style="0" width="34"/>
    <col collapsed="false" customWidth="true" hidden="false" outlineLevel="0" max="10" min="10" style="0" width="28"/>
  </cols>
  <sheetData>
    <row r="1" customFormat="false" ht="19.5" hidden="false" customHeight="true" outlineLevel="0" collapsed="false">
      <c r="A1" s="1" t="s">
        <v>591</v>
      </c>
    </row>
    <row r="2" customFormat="false" ht="15" hidden="false" customHeight="false" outlineLevel="0" collapsed="false">
      <c r="A2" s="2" t="s">
        <v>592</v>
      </c>
    </row>
    <row r="4" customFormat="false" ht="43.5" hidden="false" customHeight="true" outlineLevel="0" collapsed="false">
      <c r="A4" s="8" t="s">
        <v>593</v>
      </c>
      <c r="B4" s="13" t="s">
        <v>594</v>
      </c>
      <c r="C4" s="13" t="s">
        <v>72</v>
      </c>
      <c r="D4" s="13" t="s">
        <v>491</v>
      </c>
      <c r="E4" s="13" t="s">
        <v>595</v>
      </c>
      <c r="F4" s="13" t="s">
        <v>596</v>
      </c>
      <c r="G4" s="13" t="s">
        <v>597</v>
      </c>
      <c r="H4" s="13" t="s">
        <v>598</v>
      </c>
      <c r="I4" s="13" t="s">
        <v>599</v>
      </c>
      <c r="J4" s="17" t="s">
        <v>104</v>
      </c>
    </row>
    <row r="5" customFormat="false" ht="55.5" hidden="false" customHeight="true" outlineLevel="0" collapsed="false">
      <c r="A5" s="18" t="s">
        <v>494</v>
      </c>
      <c r="B5" s="5"/>
      <c r="C5" s="5" t="s">
        <v>83</v>
      </c>
      <c r="D5" s="5" t="s">
        <v>542</v>
      </c>
      <c r="E5" s="5" t="s">
        <v>600</v>
      </c>
      <c r="F5" s="5" t="s">
        <v>601</v>
      </c>
      <c r="G5" s="5" t="s">
        <v>602</v>
      </c>
      <c r="H5" s="5" t="s">
        <v>603</v>
      </c>
      <c r="I5" s="5" t="s">
        <v>604</v>
      </c>
      <c r="J5" s="7"/>
    </row>
    <row r="6" customFormat="false" ht="55.5" hidden="false" customHeight="true" outlineLevel="0" collapsed="false">
      <c r="A6" s="18" t="s">
        <v>499</v>
      </c>
      <c r="B6" s="5"/>
      <c r="C6" s="5" t="s">
        <v>87</v>
      </c>
      <c r="D6" s="5" t="s">
        <v>542</v>
      </c>
      <c r="E6" s="5" t="s">
        <v>605</v>
      </c>
      <c r="F6" s="5" t="s">
        <v>606</v>
      </c>
      <c r="G6" s="5" t="s">
        <v>607</v>
      </c>
      <c r="H6" s="5" t="s">
        <v>608</v>
      </c>
      <c r="I6" s="5" t="s">
        <v>609</v>
      </c>
      <c r="J6" s="7"/>
    </row>
    <row r="7" customFormat="false" ht="81.75" hidden="false" customHeight="true" outlineLevel="0" collapsed="false">
      <c r="A7" s="18" t="s">
        <v>503</v>
      </c>
      <c r="B7" s="5"/>
      <c r="C7" s="5" t="s">
        <v>79</v>
      </c>
      <c r="D7" s="5" t="s">
        <v>542</v>
      </c>
      <c r="E7" s="5" t="s">
        <v>610</v>
      </c>
      <c r="F7" s="5" t="s">
        <v>611</v>
      </c>
      <c r="G7" s="5" t="s">
        <v>612</v>
      </c>
      <c r="H7" s="5" t="s">
        <v>608</v>
      </c>
      <c r="I7" s="5" t="s">
        <v>613</v>
      </c>
      <c r="J7" s="7"/>
    </row>
    <row r="8" customFormat="false" ht="55.5" hidden="false" customHeight="true" outlineLevel="0" collapsed="false">
      <c r="A8" s="18" t="s">
        <v>508</v>
      </c>
      <c r="B8" s="5"/>
      <c r="C8" s="5" t="s">
        <v>83</v>
      </c>
      <c r="D8" s="5" t="s">
        <v>542</v>
      </c>
      <c r="E8" s="5" t="s">
        <v>614</v>
      </c>
      <c r="F8" s="5" t="s">
        <v>615</v>
      </c>
      <c r="G8" s="5" t="s">
        <v>616</v>
      </c>
      <c r="H8" s="5" t="s">
        <v>603</v>
      </c>
      <c r="I8" s="5" t="s">
        <v>617</v>
      </c>
      <c r="J8" s="7"/>
    </row>
    <row r="9" customFormat="false" ht="55.5" hidden="false" customHeight="true" outlineLevel="0" collapsed="false">
      <c r="A9" s="18" t="s">
        <v>513</v>
      </c>
      <c r="B9" s="5"/>
      <c r="C9" s="5" t="s">
        <v>87</v>
      </c>
      <c r="D9" s="5" t="s">
        <v>542</v>
      </c>
      <c r="E9" s="5" t="s">
        <v>618</v>
      </c>
      <c r="F9" s="5" t="s">
        <v>619</v>
      </c>
      <c r="G9" s="5" t="s">
        <v>620</v>
      </c>
      <c r="H9" s="5" t="s">
        <v>603</v>
      </c>
      <c r="I9" s="5" t="s">
        <v>621</v>
      </c>
      <c r="J9" s="7"/>
    </row>
    <row r="10" customFormat="false" ht="69" hidden="false" customHeight="true" outlineLevel="0" collapsed="false">
      <c r="A10" s="18" t="s">
        <v>521</v>
      </c>
      <c r="B10" s="5"/>
      <c r="C10" s="5" t="s">
        <v>79</v>
      </c>
      <c r="D10" s="5" t="s">
        <v>542</v>
      </c>
      <c r="E10" s="5" t="s">
        <v>622</v>
      </c>
      <c r="F10" s="5" t="s">
        <v>623</v>
      </c>
      <c r="G10" s="5" t="s">
        <v>624</v>
      </c>
      <c r="H10" s="5" t="s">
        <v>608</v>
      </c>
      <c r="I10" s="5" t="s">
        <v>625</v>
      </c>
      <c r="J10" s="7"/>
    </row>
    <row r="11" customFormat="false" ht="33.75" hidden="false" customHeight="true" outlineLevel="0" collapsed="false">
      <c r="A11" s="18" t="s">
        <v>525</v>
      </c>
      <c r="B11" s="5"/>
      <c r="C11" s="5"/>
      <c r="D11" s="5"/>
      <c r="E11" s="5"/>
      <c r="F11" s="5"/>
      <c r="G11" s="5"/>
      <c r="H11" s="5"/>
      <c r="I11" s="5"/>
      <c r="J11" s="7"/>
    </row>
    <row r="12" customFormat="false" ht="33.75" hidden="false" customHeight="true" outlineLevel="0" collapsed="false">
      <c r="A12" s="18" t="s">
        <v>530</v>
      </c>
      <c r="B12" s="5"/>
      <c r="C12" s="5"/>
      <c r="D12" s="5"/>
      <c r="E12" s="5"/>
      <c r="F12" s="5"/>
      <c r="G12" s="5"/>
      <c r="H12" s="5"/>
      <c r="I12" s="5"/>
      <c r="J12" s="7"/>
    </row>
    <row r="13" customFormat="false" ht="33.75" hidden="false" customHeight="true" outlineLevel="0" collapsed="false">
      <c r="A13" s="18" t="s">
        <v>538</v>
      </c>
      <c r="B13" s="5"/>
      <c r="C13" s="5"/>
      <c r="D13" s="5"/>
      <c r="E13" s="5"/>
      <c r="F13" s="5"/>
      <c r="G13" s="5"/>
      <c r="H13" s="5"/>
      <c r="I13" s="5"/>
      <c r="J13" s="7"/>
    </row>
    <row r="14" customFormat="false" ht="33.75" hidden="false" customHeight="true" outlineLevel="0" collapsed="false">
      <c r="A14" s="18" t="s">
        <v>544</v>
      </c>
      <c r="B14" s="5"/>
      <c r="C14" s="5"/>
      <c r="D14" s="5"/>
      <c r="E14" s="5"/>
      <c r="F14" s="5"/>
      <c r="G14" s="5"/>
      <c r="H14" s="5"/>
      <c r="I14" s="5"/>
      <c r="J14" s="7"/>
    </row>
    <row r="15" customFormat="false" ht="33.75" hidden="false" customHeight="true" outlineLevel="0" collapsed="false">
      <c r="A15" s="18" t="s">
        <v>626</v>
      </c>
      <c r="B15" s="5"/>
      <c r="C15" s="5"/>
      <c r="D15" s="5"/>
      <c r="E15" s="5"/>
      <c r="F15" s="5"/>
      <c r="G15" s="5"/>
      <c r="H15" s="5"/>
      <c r="I15" s="5"/>
      <c r="J15" s="7"/>
    </row>
    <row r="16" customFormat="false" ht="33.75" hidden="false" customHeight="true" outlineLevel="0" collapsed="false">
      <c r="A16" s="18" t="s">
        <v>627</v>
      </c>
      <c r="B16" s="5"/>
      <c r="C16" s="5"/>
      <c r="D16" s="5"/>
      <c r="E16" s="5"/>
      <c r="F16" s="5"/>
      <c r="G16" s="5"/>
      <c r="H16" s="5"/>
      <c r="I16" s="5"/>
      <c r="J16" s="7"/>
    </row>
    <row r="17" customFormat="false" ht="33.75" hidden="false" customHeight="true" outlineLevel="0" collapsed="false">
      <c r="A17" s="18" t="s">
        <v>628</v>
      </c>
      <c r="B17" s="5"/>
      <c r="C17" s="5"/>
      <c r="D17" s="5"/>
      <c r="E17" s="5"/>
      <c r="F17" s="5"/>
      <c r="G17" s="5"/>
      <c r="H17" s="5"/>
      <c r="I17" s="5"/>
      <c r="J17" s="7"/>
    </row>
    <row r="18" customFormat="false" ht="33.75" hidden="false" customHeight="true" outlineLevel="0" collapsed="false">
      <c r="A18" s="18" t="s">
        <v>629</v>
      </c>
      <c r="B18" s="5"/>
      <c r="C18" s="5"/>
      <c r="D18" s="5"/>
      <c r="E18" s="5"/>
      <c r="F18" s="5"/>
      <c r="G18" s="5"/>
      <c r="H18" s="5"/>
      <c r="I18" s="5"/>
      <c r="J18" s="7"/>
    </row>
    <row r="19" customFormat="false" ht="33.75" hidden="false" customHeight="true" outlineLevel="0" collapsed="false">
      <c r="A19" s="18" t="s">
        <v>630</v>
      </c>
      <c r="B19" s="5"/>
      <c r="C19" s="5"/>
      <c r="D19" s="5"/>
      <c r="E19" s="5"/>
      <c r="F19" s="5"/>
      <c r="G19" s="5"/>
      <c r="H19" s="5"/>
      <c r="I19" s="5"/>
      <c r="J19" s="7"/>
    </row>
    <row r="20" customFormat="false" ht="33.75" hidden="false" customHeight="true" outlineLevel="0" collapsed="false">
      <c r="A20" s="18" t="s">
        <v>631</v>
      </c>
      <c r="B20" s="5"/>
      <c r="C20" s="5"/>
      <c r="D20" s="5"/>
      <c r="E20" s="5"/>
      <c r="F20" s="5"/>
      <c r="G20" s="5"/>
      <c r="H20" s="5"/>
      <c r="I20" s="5"/>
      <c r="J20" s="7"/>
    </row>
    <row r="21" customFormat="false" ht="33.75" hidden="false" customHeight="true" outlineLevel="0" collapsed="false">
      <c r="A21" s="18" t="s">
        <v>632</v>
      </c>
      <c r="B21" s="5"/>
      <c r="C21" s="5"/>
      <c r="D21" s="5"/>
      <c r="E21" s="5"/>
      <c r="F21" s="5"/>
      <c r="G21" s="5"/>
      <c r="H21" s="5"/>
      <c r="I21" s="5"/>
      <c r="J21" s="7"/>
    </row>
    <row r="22" customFormat="false" ht="33.75" hidden="false" customHeight="true" outlineLevel="0" collapsed="false">
      <c r="A22" s="18" t="s">
        <v>633</v>
      </c>
      <c r="B22" s="5"/>
      <c r="C22" s="5"/>
      <c r="D22" s="5"/>
      <c r="E22" s="5"/>
      <c r="F22" s="5"/>
      <c r="G22" s="5"/>
      <c r="H22" s="5"/>
      <c r="I22" s="5"/>
      <c r="J22" s="7"/>
    </row>
    <row r="23" customFormat="false" ht="33.75" hidden="false" customHeight="true" outlineLevel="0" collapsed="false">
      <c r="A23" s="18" t="s">
        <v>634</v>
      </c>
      <c r="B23" s="5"/>
      <c r="C23" s="5"/>
      <c r="D23" s="5"/>
      <c r="E23" s="5"/>
      <c r="F23" s="5"/>
      <c r="G23" s="5"/>
      <c r="H23" s="5"/>
      <c r="I23" s="5"/>
      <c r="J23" s="7"/>
    </row>
    <row r="24" customFormat="false" ht="33.75" hidden="false" customHeight="true" outlineLevel="0" collapsed="false">
      <c r="A24" s="18" t="s">
        <v>635</v>
      </c>
      <c r="B24" s="5"/>
      <c r="C24" s="5"/>
      <c r="D24" s="5"/>
      <c r="E24" s="5"/>
      <c r="F24" s="5"/>
      <c r="G24" s="5"/>
      <c r="H24" s="5"/>
      <c r="I24" s="5"/>
      <c r="J24" s="7"/>
    </row>
    <row r="25" customFormat="false" ht="33.75" hidden="false" customHeight="true" outlineLevel="0" collapsed="false">
      <c r="A25" s="18" t="s">
        <v>636</v>
      </c>
      <c r="B25" s="5"/>
      <c r="C25" s="5"/>
      <c r="D25" s="5"/>
      <c r="E25" s="5"/>
      <c r="F25" s="5"/>
      <c r="G25" s="5"/>
      <c r="H25" s="5"/>
      <c r="I25" s="5"/>
      <c r="J25" s="7"/>
    </row>
    <row r="26" customFormat="false" ht="33.75" hidden="false" customHeight="true" outlineLevel="0" collapsed="false">
      <c r="A26" s="18" t="s">
        <v>637</v>
      </c>
      <c r="B26" s="5"/>
      <c r="C26" s="5"/>
      <c r="D26" s="5"/>
      <c r="E26" s="5"/>
      <c r="F26" s="5"/>
      <c r="G26" s="5"/>
      <c r="H26" s="5"/>
      <c r="I26" s="5"/>
      <c r="J26" s="7"/>
    </row>
    <row r="27" customFormat="false" ht="33.75" hidden="false" customHeight="true" outlineLevel="0" collapsed="false">
      <c r="A27" s="18" t="s">
        <v>638</v>
      </c>
      <c r="B27" s="5"/>
      <c r="C27" s="5"/>
      <c r="D27" s="5"/>
      <c r="E27" s="5"/>
      <c r="F27" s="5"/>
      <c r="G27" s="5"/>
      <c r="H27" s="5"/>
      <c r="I27" s="5"/>
      <c r="J27" s="7"/>
    </row>
    <row r="28" customFormat="false" ht="33.75" hidden="false" customHeight="true" outlineLevel="0" collapsed="false">
      <c r="A28" s="18" t="s">
        <v>639</v>
      </c>
      <c r="B28" s="5"/>
      <c r="C28" s="5"/>
      <c r="D28" s="5"/>
      <c r="E28" s="5"/>
      <c r="F28" s="5"/>
      <c r="G28" s="5"/>
      <c r="H28" s="5"/>
      <c r="I28" s="5"/>
      <c r="J28" s="7"/>
    </row>
    <row r="29" customFormat="false" ht="33.75" hidden="false" customHeight="true" outlineLevel="0" collapsed="false">
      <c r="A29" s="18" t="s">
        <v>640</v>
      </c>
      <c r="B29" s="5"/>
      <c r="C29" s="5"/>
      <c r="D29" s="5"/>
      <c r="E29" s="5"/>
      <c r="F29" s="5"/>
      <c r="G29" s="5"/>
      <c r="H29" s="5"/>
      <c r="I29" s="5"/>
      <c r="J29" s="7"/>
    </row>
    <row r="30" customFormat="false" ht="33.75" hidden="false" customHeight="true" outlineLevel="0" collapsed="false">
      <c r="A30" s="18" t="s">
        <v>641</v>
      </c>
      <c r="B30" s="5"/>
      <c r="C30" s="5"/>
      <c r="D30" s="5"/>
      <c r="E30" s="5"/>
      <c r="F30" s="5"/>
      <c r="G30" s="5"/>
      <c r="H30" s="5"/>
      <c r="I30" s="5"/>
      <c r="J30" s="7"/>
    </row>
    <row r="31" customFormat="false" ht="33.75" hidden="false" customHeight="true" outlineLevel="0" collapsed="false">
      <c r="A31" s="18" t="s">
        <v>642</v>
      </c>
      <c r="B31" s="5"/>
      <c r="C31" s="5"/>
      <c r="D31" s="5"/>
      <c r="E31" s="5"/>
      <c r="F31" s="5"/>
      <c r="G31" s="5"/>
      <c r="H31" s="5"/>
      <c r="I31" s="5"/>
      <c r="J31" s="7"/>
    </row>
    <row r="32" customFormat="false" ht="33.75" hidden="false" customHeight="true" outlineLevel="0" collapsed="false">
      <c r="A32" s="18" t="s">
        <v>643</v>
      </c>
      <c r="B32" s="5"/>
      <c r="C32" s="5"/>
      <c r="D32" s="5"/>
      <c r="E32" s="5"/>
      <c r="F32" s="5"/>
      <c r="G32" s="5"/>
      <c r="H32" s="5"/>
      <c r="I32" s="5"/>
      <c r="J32" s="7"/>
    </row>
    <row r="33" customFormat="false" ht="33.75" hidden="false" customHeight="true" outlineLevel="0" collapsed="false">
      <c r="A33" s="18" t="s">
        <v>644</v>
      </c>
      <c r="B33" s="5"/>
      <c r="C33" s="5"/>
      <c r="D33" s="5"/>
      <c r="E33" s="5"/>
      <c r="F33" s="5"/>
      <c r="G33" s="5"/>
      <c r="H33" s="5"/>
      <c r="I33" s="5"/>
      <c r="J33" s="7"/>
    </row>
    <row r="34" customFormat="false" ht="33.75" hidden="false" customHeight="true" outlineLevel="0" collapsed="false">
      <c r="A34" s="18" t="s">
        <v>645</v>
      </c>
      <c r="B34" s="5"/>
      <c r="C34" s="5"/>
      <c r="D34" s="5"/>
      <c r="E34" s="5"/>
      <c r="F34" s="5"/>
      <c r="G34" s="5"/>
      <c r="H34" s="5"/>
      <c r="I34" s="5"/>
      <c r="J34" s="7"/>
    </row>
    <row r="35" customFormat="false" ht="33.75" hidden="false" customHeight="true" outlineLevel="0" collapsed="false">
      <c r="A35" s="18" t="s">
        <v>646</v>
      </c>
      <c r="B35" s="5"/>
      <c r="C35" s="5"/>
      <c r="D35" s="5"/>
      <c r="E35" s="5"/>
      <c r="F35" s="5"/>
      <c r="G35" s="5"/>
      <c r="H35" s="5"/>
      <c r="I35" s="5"/>
      <c r="J35" s="7"/>
    </row>
    <row r="36" customFormat="false" ht="33.75" hidden="false" customHeight="true" outlineLevel="0" collapsed="false">
      <c r="A36" s="18" t="s">
        <v>647</v>
      </c>
      <c r="B36" s="5"/>
      <c r="C36" s="5"/>
      <c r="D36" s="5"/>
      <c r="E36" s="5"/>
      <c r="F36" s="5"/>
      <c r="G36" s="5"/>
      <c r="H36" s="5"/>
      <c r="I36" s="5"/>
      <c r="J36" s="7"/>
    </row>
    <row r="37" customFormat="false" ht="33.75" hidden="false" customHeight="true" outlineLevel="0" collapsed="false">
      <c r="A37" s="18" t="s">
        <v>648</v>
      </c>
      <c r="B37" s="5"/>
      <c r="C37" s="5"/>
      <c r="D37" s="5"/>
      <c r="E37" s="5"/>
      <c r="F37" s="5"/>
      <c r="G37" s="5"/>
      <c r="H37" s="5"/>
      <c r="I37" s="5"/>
      <c r="J37" s="7"/>
    </row>
    <row r="38" customFormat="false" ht="33.75" hidden="false" customHeight="true" outlineLevel="0" collapsed="false">
      <c r="A38" s="18" t="s">
        <v>649</v>
      </c>
      <c r="B38" s="5"/>
      <c r="C38" s="5"/>
      <c r="D38" s="5"/>
      <c r="E38" s="5"/>
      <c r="F38" s="5"/>
      <c r="G38" s="5"/>
      <c r="H38" s="5"/>
      <c r="I38" s="5"/>
      <c r="J38" s="7"/>
    </row>
    <row r="39" customFormat="false" ht="33.75" hidden="false" customHeight="true" outlineLevel="0" collapsed="false">
      <c r="A39" s="18" t="s">
        <v>650</v>
      </c>
      <c r="B39" s="5"/>
      <c r="C39" s="5"/>
      <c r="D39" s="5"/>
      <c r="E39" s="5"/>
      <c r="F39" s="5"/>
      <c r="G39" s="5"/>
      <c r="H39" s="5"/>
      <c r="I39" s="5"/>
      <c r="J39" s="7"/>
    </row>
    <row r="40" customFormat="false" ht="33.75" hidden="false" customHeight="true" outlineLevel="0" collapsed="false">
      <c r="A40" s="18" t="s">
        <v>651</v>
      </c>
      <c r="B40" s="5"/>
      <c r="C40" s="5"/>
      <c r="D40" s="5"/>
      <c r="E40" s="5"/>
      <c r="F40" s="5"/>
      <c r="G40" s="5"/>
      <c r="H40" s="5"/>
      <c r="I40" s="5"/>
      <c r="J40" s="7"/>
    </row>
    <row r="41" customFormat="false" ht="33.75" hidden="false" customHeight="true" outlineLevel="0" collapsed="false">
      <c r="A41" s="18" t="s">
        <v>652</v>
      </c>
      <c r="B41" s="5"/>
      <c r="C41" s="5"/>
      <c r="D41" s="5"/>
      <c r="E41" s="5"/>
      <c r="F41" s="5"/>
      <c r="G41" s="5"/>
      <c r="H41" s="5"/>
      <c r="I41" s="5"/>
      <c r="J41" s="7"/>
    </row>
    <row r="42" customFormat="false" ht="33.75" hidden="false" customHeight="true" outlineLevel="0" collapsed="false">
      <c r="A42" s="18" t="s">
        <v>653</v>
      </c>
      <c r="B42" s="5"/>
      <c r="C42" s="5"/>
      <c r="D42" s="5"/>
      <c r="E42" s="5"/>
      <c r="F42" s="5"/>
      <c r="G42" s="5"/>
      <c r="H42" s="5"/>
      <c r="I42" s="5"/>
      <c r="J42" s="7"/>
    </row>
    <row r="43" customFormat="false" ht="33.75" hidden="false" customHeight="true" outlineLevel="0" collapsed="false">
      <c r="A43" s="18" t="s">
        <v>654</v>
      </c>
      <c r="B43" s="5"/>
      <c r="C43" s="5"/>
      <c r="D43" s="5"/>
      <c r="E43" s="5"/>
      <c r="F43" s="5"/>
      <c r="G43" s="5"/>
      <c r="H43" s="5"/>
      <c r="I43" s="5"/>
      <c r="J43" s="7"/>
    </row>
    <row r="44" customFormat="false" ht="33.75" hidden="false" customHeight="true" outlineLevel="0" collapsed="false">
      <c r="A44" s="18" t="s">
        <v>655</v>
      </c>
      <c r="B44" s="5"/>
      <c r="C44" s="5"/>
      <c r="D44" s="5"/>
      <c r="E44" s="5"/>
      <c r="F44" s="5"/>
      <c r="G44" s="5"/>
      <c r="H44" s="5"/>
      <c r="I44" s="5"/>
      <c r="J44" s="7"/>
    </row>
    <row r="46" customFormat="false" ht="15" hidden="false" customHeight="false" outlineLevel="0" collapsed="false">
      <c r="E46" s="10" t="s">
        <v>603</v>
      </c>
      <c r="F46" s="11" t="n">
        <f aca="false">COUNTIF(H5:H44,"Kept")</f>
        <v>3</v>
      </c>
    </row>
    <row r="47" customFormat="false" ht="15" hidden="false" customHeight="false" outlineLevel="0" collapsed="false">
      <c r="E47" s="10" t="s">
        <v>608</v>
      </c>
      <c r="F47" s="11" t="n">
        <f aca="false">COUNTIF(H5:H44,"Changed")</f>
        <v>3</v>
      </c>
    </row>
    <row r="48" customFormat="false" ht="15" hidden="false" customHeight="false" outlineLevel="0" collapsed="false">
      <c r="E48" s="10" t="s">
        <v>656</v>
      </c>
      <c r="F48" s="11" t="n">
        <f aca="false">COUNTIF(H5:H44,"Rejected")</f>
        <v>0</v>
      </c>
    </row>
    <row r="49" customFormat="false" ht="15" hidden="false" customHeight="false" outlineLevel="0" collapsed="false">
      <c r="E49" s="10" t="s">
        <v>657</v>
      </c>
      <c r="F49" s="11" t="n">
        <f aca="false">COUNTIFS(H5:H44,"&lt;&gt;",I5:I44,"")</f>
        <v>0</v>
      </c>
    </row>
    <row r="51" customFormat="false" ht="15" hidden="false" customHeight="false" outlineLevel="0" collapsed="false">
      <c r="A51" s="16" t="s">
        <v>658</v>
      </c>
    </row>
  </sheetData>
  <conditionalFormatting sqref="F49">
    <cfRule type="expression" priority="2" aboveAverage="0" equalAverage="0" bottom="0" percent="0" rank="0" text="" dxfId="0">
      <formula>F49&gt;0</formula>
    </cfRule>
  </conditionalFormatting>
  <dataValidations count="2">
    <dataValidation allowBlank="true" error="Choose a value from the list." errorStyle="stop" operator="between" showDropDown="false" showErrorMessage="true" showInputMessage="false" sqref="D5:D44" type="list">
      <formula1>"GitHub Copilot,ChatGPT,Gemini,Claude,Other"</formula1>
      <formula2>0</formula2>
    </dataValidation>
    <dataValidation allowBlank="true" error="Choose a value from the list." errorStyle="stop" operator="between" showDropDown="false" showErrorMessage="true" showInputMessage="false" sqref="H5:H44" type="list">
      <formula1>"Kept,Changed,Rejected"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3" min="2" style="0" width="14"/>
    <col collapsed="false" customWidth="true" hidden="false" outlineLevel="0" max="4" min="4" style="0" width="26"/>
    <col collapsed="false" customWidth="true" hidden="false" outlineLevel="0" max="5" min="5" style="0" width="10"/>
    <col collapsed="false" customWidth="true" hidden="false" outlineLevel="0" max="6" min="6" style="0" width="14"/>
    <col collapsed="false" customWidth="true" hidden="false" outlineLevel="0" max="7" min="7" style="0" width="44"/>
    <col collapsed="false" customWidth="true" hidden="false" outlineLevel="0" max="8" min="8" style="0" width="30"/>
  </cols>
  <sheetData>
    <row r="1" customFormat="false" ht="19.5" hidden="false" customHeight="true" outlineLevel="0" collapsed="false">
      <c r="A1" s="1" t="s">
        <v>659</v>
      </c>
    </row>
    <row r="2" customFormat="false" ht="15" hidden="false" customHeight="false" outlineLevel="0" collapsed="false">
      <c r="A2" s="2" t="s">
        <v>660</v>
      </c>
    </row>
    <row r="4" customFormat="false" ht="33.75" hidden="false" customHeight="true" outlineLevel="0" collapsed="false">
      <c r="A4" s="13" t="s">
        <v>661</v>
      </c>
      <c r="B4" s="13" t="s">
        <v>594</v>
      </c>
      <c r="C4" s="13" t="s">
        <v>72</v>
      </c>
      <c r="D4" s="13" t="s">
        <v>662</v>
      </c>
      <c r="E4" s="13" t="s">
        <v>663</v>
      </c>
      <c r="F4" s="13" t="s">
        <v>664</v>
      </c>
      <c r="G4" s="13" t="s">
        <v>665</v>
      </c>
      <c r="H4" s="17" t="s">
        <v>104</v>
      </c>
    </row>
    <row r="5" customFormat="false" ht="24" hidden="false" customHeight="true" outlineLevel="0" collapsed="false">
      <c r="A5" s="5"/>
      <c r="B5" s="5"/>
      <c r="C5" s="5"/>
      <c r="D5" s="5"/>
      <c r="E5" s="5"/>
      <c r="F5" s="5"/>
      <c r="G5" s="5"/>
      <c r="H5" s="7"/>
    </row>
    <row r="6" customFormat="false" ht="24" hidden="false" customHeight="true" outlineLevel="0" collapsed="false">
      <c r="A6" s="5"/>
      <c r="B6" s="5"/>
      <c r="C6" s="5"/>
      <c r="D6" s="5"/>
      <c r="E6" s="5"/>
      <c r="F6" s="5"/>
      <c r="G6" s="5"/>
      <c r="H6" s="7"/>
    </row>
    <row r="7" customFormat="false" ht="24" hidden="false" customHeight="true" outlineLevel="0" collapsed="false">
      <c r="A7" s="5"/>
      <c r="B7" s="5"/>
      <c r="C7" s="5"/>
      <c r="D7" s="5"/>
      <c r="E7" s="5"/>
      <c r="F7" s="5"/>
      <c r="G7" s="5"/>
      <c r="H7" s="7"/>
    </row>
    <row r="8" customFormat="false" ht="24" hidden="false" customHeight="true" outlineLevel="0" collapsed="false">
      <c r="A8" s="5"/>
      <c r="B8" s="5"/>
      <c r="C8" s="5"/>
      <c r="D8" s="5"/>
      <c r="E8" s="5"/>
      <c r="F8" s="5"/>
      <c r="G8" s="5"/>
      <c r="H8" s="7"/>
    </row>
    <row r="9" customFormat="false" ht="24" hidden="false" customHeight="true" outlineLevel="0" collapsed="false">
      <c r="A9" s="5"/>
      <c r="B9" s="5"/>
      <c r="C9" s="5"/>
      <c r="D9" s="5"/>
      <c r="E9" s="5"/>
      <c r="F9" s="5"/>
      <c r="G9" s="5"/>
      <c r="H9" s="7"/>
    </row>
    <row r="10" customFormat="false" ht="24" hidden="false" customHeight="true" outlineLevel="0" collapsed="false">
      <c r="A10" s="5"/>
      <c r="B10" s="5"/>
      <c r="C10" s="5"/>
      <c r="D10" s="5"/>
      <c r="E10" s="5"/>
      <c r="F10" s="5"/>
      <c r="G10" s="5"/>
      <c r="H10" s="7"/>
    </row>
    <row r="11" customFormat="false" ht="24" hidden="false" customHeight="true" outlineLevel="0" collapsed="false">
      <c r="A11" s="5"/>
      <c r="B11" s="5"/>
      <c r="C11" s="5"/>
      <c r="D11" s="5"/>
      <c r="E11" s="5"/>
      <c r="F11" s="5"/>
      <c r="G11" s="5"/>
      <c r="H11" s="7"/>
    </row>
    <row r="12" customFormat="false" ht="24" hidden="false" customHeight="true" outlineLevel="0" collapsed="false">
      <c r="A12" s="5"/>
      <c r="B12" s="5"/>
      <c r="C12" s="5"/>
      <c r="D12" s="5"/>
      <c r="E12" s="5"/>
      <c r="F12" s="5"/>
      <c r="G12" s="5"/>
      <c r="H12" s="7"/>
    </row>
    <row r="13" customFormat="false" ht="24" hidden="false" customHeight="true" outlineLevel="0" collapsed="false">
      <c r="A13" s="5"/>
      <c r="B13" s="5"/>
      <c r="C13" s="5"/>
      <c r="D13" s="5"/>
      <c r="E13" s="5"/>
      <c r="F13" s="5"/>
      <c r="G13" s="5"/>
      <c r="H13" s="7"/>
    </row>
    <row r="14" customFormat="false" ht="24" hidden="false" customHeight="true" outlineLevel="0" collapsed="false">
      <c r="A14" s="5"/>
      <c r="B14" s="5"/>
      <c r="C14" s="5"/>
      <c r="D14" s="5"/>
      <c r="E14" s="5"/>
      <c r="F14" s="5"/>
      <c r="G14" s="5"/>
      <c r="H14" s="7"/>
    </row>
    <row r="15" customFormat="false" ht="24" hidden="false" customHeight="true" outlineLevel="0" collapsed="false">
      <c r="A15" s="5"/>
      <c r="B15" s="5"/>
      <c r="C15" s="5"/>
      <c r="D15" s="5"/>
      <c r="E15" s="5"/>
      <c r="F15" s="5"/>
      <c r="G15" s="5"/>
      <c r="H15" s="7"/>
    </row>
    <row r="16" customFormat="false" ht="24" hidden="false" customHeight="true" outlineLevel="0" collapsed="false">
      <c r="A16" s="5"/>
      <c r="B16" s="5"/>
      <c r="C16" s="5"/>
      <c r="D16" s="5"/>
      <c r="E16" s="5"/>
      <c r="F16" s="5"/>
      <c r="G16" s="5"/>
      <c r="H16" s="7"/>
    </row>
    <row r="17" customFormat="false" ht="24" hidden="false" customHeight="true" outlineLevel="0" collapsed="false">
      <c r="A17" s="5"/>
      <c r="B17" s="5"/>
      <c r="C17" s="5"/>
      <c r="D17" s="5"/>
      <c r="E17" s="5"/>
      <c r="F17" s="5"/>
      <c r="G17" s="5"/>
      <c r="H17" s="7"/>
    </row>
    <row r="18" customFormat="false" ht="24" hidden="false" customHeight="true" outlineLevel="0" collapsed="false">
      <c r="A18" s="5"/>
      <c r="B18" s="5"/>
      <c r="C18" s="5"/>
      <c r="D18" s="5"/>
      <c r="E18" s="5"/>
      <c r="F18" s="5"/>
      <c r="G18" s="5"/>
      <c r="H18" s="7"/>
    </row>
    <row r="19" customFormat="false" ht="24" hidden="false" customHeight="true" outlineLevel="0" collapsed="false">
      <c r="A19" s="5"/>
      <c r="B19" s="5"/>
      <c r="C19" s="5"/>
      <c r="D19" s="5"/>
      <c r="E19" s="5"/>
      <c r="F19" s="5"/>
      <c r="G19" s="5"/>
      <c r="H19" s="7"/>
    </row>
    <row r="20" customFormat="false" ht="24" hidden="false" customHeight="true" outlineLevel="0" collapsed="false">
      <c r="A20" s="5"/>
      <c r="B20" s="5"/>
      <c r="C20" s="5"/>
      <c r="D20" s="5"/>
      <c r="E20" s="5"/>
      <c r="F20" s="5"/>
      <c r="G20" s="5"/>
      <c r="H20" s="7"/>
    </row>
    <row r="21" customFormat="false" ht="24" hidden="false" customHeight="true" outlineLevel="0" collapsed="false">
      <c r="A21" s="5"/>
      <c r="B21" s="5"/>
      <c r="C21" s="5"/>
      <c r="D21" s="5"/>
      <c r="E21" s="5"/>
      <c r="F21" s="5"/>
      <c r="G21" s="5"/>
      <c r="H21" s="7"/>
    </row>
    <row r="22" customFormat="false" ht="24" hidden="false" customHeight="true" outlineLevel="0" collapsed="false">
      <c r="A22" s="5"/>
      <c r="B22" s="5"/>
      <c r="C22" s="5"/>
      <c r="D22" s="5"/>
      <c r="E22" s="5"/>
      <c r="F22" s="5"/>
      <c r="G22" s="5"/>
      <c r="H22" s="7"/>
    </row>
    <row r="23" customFormat="false" ht="24" hidden="false" customHeight="true" outlineLevel="0" collapsed="false">
      <c r="A23" s="5"/>
      <c r="B23" s="5"/>
      <c r="C23" s="5"/>
      <c r="D23" s="5"/>
      <c r="E23" s="5"/>
      <c r="F23" s="5"/>
      <c r="G23" s="5"/>
      <c r="H23" s="7"/>
    </row>
    <row r="24" customFormat="false" ht="24" hidden="false" customHeight="true" outlineLevel="0" collapsed="false">
      <c r="A24" s="5"/>
      <c r="B24" s="5"/>
      <c r="C24" s="5"/>
      <c r="D24" s="5"/>
      <c r="E24" s="5"/>
      <c r="F24" s="5"/>
      <c r="G24" s="5"/>
      <c r="H24" s="7"/>
    </row>
    <row r="25" customFormat="false" ht="24" hidden="false" customHeight="true" outlineLevel="0" collapsed="false">
      <c r="A25" s="5"/>
      <c r="B25" s="5"/>
      <c r="C25" s="5"/>
      <c r="D25" s="5"/>
      <c r="E25" s="5"/>
      <c r="F25" s="5"/>
      <c r="G25" s="5"/>
      <c r="H25" s="7"/>
    </row>
    <row r="26" customFormat="false" ht="24" hidden="false" customHeight="true" outlineLevel="0" collapsed="false">
      <c r="A26" s="5"/>
      <c r="B26" s="5"/>
      <c r="C26" s="5"/>
      <c r="D26" s="5"/>
      <c r="E26" s="5"/>
      <c r="F26" s="5"/>
      <c r="G26" s="5"/>
      <c r="H26" s="7"/>
    </row>
    <row r="27" customFormat="false" ht="24" hidden="false" customHeight="true" outlineLevel="0" collapsed="false">
      <c r="A27" s="5"/>
      <c r="B27" s="5"/>
      <c r="C27" s="5"/>
      <c r="D27" s="5"/>
      <c r="E27" s="5"/>
      <c r="F27" s="5"/>
      <c r="G27" s="5"/>
      <c r="H27" s="7"/>
    </row>
    <row r="28" customFormat="false" ht="24" hidden="false" customHeight="true" outlineLevel="0" collapsed="false">
      <c r="A28" s="5"/>
      <c r="B28" s="5"/>
      <c r="C28" s="5"/>
      <c r="D28" s="5"/>
      <c r="E28" s="5"/>
      <c r="F28" s="5"/>
      <c r="G28" s="5"/>
      <c r="H28" s="7"/>
    </row>
    <row r="29" customFormat="false" ht="24" hidden="false" customHeight="true" outlineLevel="0" collapsed="false">
      <c r="A29" s="5"/>
      <c r="B29" s="5"/>
      <c r="C29" s="5"/>
      <c r="D29" s="5"/>
      <c r="E29" s="5"/>
      <c r="F29" s="5"/>
      <c r="G29" s="5"/>
      <c r="H29" s="7"/>
    </row>
    <row r="30" customFormat="false" ht="24" hidden="false" customHeight="true" outlineLevel="0" collapsed="false">
      <c r="A30" s="5"/>
      <c r="B30" s="5"/>
      <c r="C30" s="5"/>
      <c r="D30" s="5"/>
      <c r="E30" s="5"/>
      <c r="F30" s="5"/>
      <c r="G30" s="5"/>
      <c r="H30" s="7"/>
    </row>
    <row r="31" customFormat="false" ht="24" hidden="false" customHeight="true" outlineLevel="0" collapsed="false">
      <c r="A31" s="5"/>
      <c r="B31" s="5"/>
      <c r="C31" s="5"/>
      <c r="D31" s="5"/>
      <c r="E31" s="5"/>
      <c r="F31" s="5"/>
      <c r="G31" s="5"/>
      <c r="H31" s="7"/>
    </row>
    <row r="32" customFormat="false" ht="24" hidden="false" customHeight="true" outlineLevel="0" collapsed="false">
      <c r="A32" s="5"/>
      <c r="B32" s="5"/>
      <c r="C32" s="5"/>
      <c r="D32" s="5"/>
      <c r="E32" s="5"/>
      <c r="F32" s="5"/>
      <c r="G32" s="5"/>
      <c r="H32" s="7"/>
    </row>
    <row r="33" customFormat="false" ht="24" hidden="false" customHeight="true" outlineLevel="0" collapsed="false">
      <c r="A33" s="5"/>
      <c r="B33" s="5"/>
      <c r="C33" s="5"/>
      <c r="D33" s="5"/>
      <c r="E33" s="5"/>
      <c r="F33" s="5"/>
      <c r="G33" s="5"/>
      <c r="H33" s="7"/>
    </row>
    <row r="34" customFormat="false" ht="24" hidden="false" customHeight="true" outlineLevel="0" collapsed="false">
      <c r="A34" s="5"/>
      <c r="B34" s="5"/>
      <c r="C34" s="5"/>
      <c r="D34" s="5"/>
      <c r="E34" s="5"/>
      <c r="F34" s="5"/>
      <c r="G34" s="5"/>
      <c r="H34" s="7"/>
    </row>
    <row r="35" customFormat="false" ht="24" hidden="false" customHeight="true" outlineLevel="0" collapsed="false">
      <c r="A35" s="5"/>
      <c r="B35" s="5"/>
      <c r="C35" s="5"/>
      <c r="D35" s="5"/>
      <c r="E35" s="5"/>
      <c r="F35" s="5"/>
      <c r="G35" s="5"/>
      <c r="H35" s="7"/>
    </row>
    <row r="36" customFormat="false" ht="24" hidden="false" customHeight="true" outlineLevel="0" collapsed="false">
      <c r="A36" s="5"/>
      <c r="B36" s="5"/>
      <c r="C36" s="5"/>
      <c r="D36" s="5"/>
      <c r="E36" s="5"/>
      <c r="F36" s="5"/>
      <c r="G36" s="5"/>
      <c r="H36" s="7"/>
    </row>
    <row r="37" customFormat="false" ht="24" hidden="false" customHeight="true" outlineLevel="0" collapsed="false">
      <c r="A37" s="5"/>
      <c r="B37" s="5"/>
      <c r="C37" s="5"/>
      <c r="D37" s="5"/>
      <c r="E37" s="5"/>
      <c r="F37" s="5"/>
      <c r="G37" s="5"/>
      <c r="H37" s="7"/>
    </row>
    <row r="38" customFormat="false" ht="24" hidden="false" customHeight="true" outlineLevel="0" collapsed="false">
      <c r="A38" s="5"/>
      <c r="B38" s="5"/>
      <c r="C38" s="5"/>
      <c r="D38" s="5"/>
      <c r="E38" s="5"/>
      <c r="F38" s="5"/>
      <c r="G38" s="5"/>
      <c r="H38" s="7"/>
    </row>
    <row r="39" customFormat="false" ht="24" hidden="false" customHeight="true" outlineLevel="0" collapsed="false">
      <c r="A39" s="5"/>
      <c r="B39" s="5"/>
      <c r="C39" s="5"/>
      <c r="D39" s="5"/>
      <c r="E39" s="5"/>
      <c r="F39" s="5"/>
      <c r="G39" s="5"/>
      <c r="H39" s="7"/>
    </row>
    <row r="40" customFormat="false" ht="24" hidden="false" customHeight="true" outlineLevel="0" collapsed="false">
      <c r="A40" s="5"/>
      <c r="B40" s="5"/>
      <c r="C40" s="5"/>
      <c r="D40" s="5"/>
      <c r="E40" s="5"/>
      <c r="F40" s="5"/>
      <c r="G40" s="5"/>
      <c r="H40" s="7"/>
    </row>
    <row r="41" customFormat="false" ht="24" hidden="false" customHeight="true" outlineLevel="0" collapsed="false">
      <c r="A41" s="5"/>
      <c r="B41" s="5"/>
      <c r="C41" s="5"/>
      <c r="D41" s="5"/>
      <c r="E41" s="5"/>
      <c r="F41" s="5"/>
      <c r="G41" s="5"/>
      <c r="H41" s="7"/>
    </row>
    <row r="42" customFormat="false" ht="24" hidden="false" customHeight="true" outlineLevel="0" collapsed="false">
      <c r="A42" s="5"/>
      <c r="B42" s="5"/>
      <c r="C42" s="5"/>
      <c r="D42" s="5"/>
      <c r="E42" s="5"/>
      <c r="F42" s="5"/>
      <c r="G42" s="5"/>
      <c r="H42" s="7"/>
    </row>
    <row r="43" customFormat="false" ht="24" hidden="false" customHeight="true" outlineLevel="0" collapsed="false">
      <c r="A43" s="5"/>
      <c r="B43" s="5"/>
      <c r="C43" s="5"/>
      <c r="D43" s="5"/>
      <c r="E43" s="5"/>
      <c r="F43" s="5"/>
      <c r="G43" s="5"/>
      <c r="H43" s="7"/>
    </row>
    <row r="44" customFormat="false" ht="24" hidden="false" customHeight="true" outlineLevel="0" collapsed="false">
      <c r="A44" s="5"/>
      <c r="B44" s="5"/>
      <c r="C44" s="5"/>
      <c r="D44" s="5"/>
      <c r="E44" s="5"/>
      <c r="F44" s="5"/>
      <c r="G44" s="5"/>
      <c r="H44" s="7"/>
    </row>
    <row r="45" customFormat="false" ht="24" hidden="false" customHeight="true" outlineLevel="0" collapsed="false">
      <c r="A45" s="5"/>
      <c r="B45" s="5"/>
      <c r="C45" s="5"/>
      <c r="D45" s="5"/>
      <c r="E45" s="5"/>
      <c r="F45" s="5"/>
      <c r="G45" s="5"/>
      <c r="H45" s="7"/>
    </row>
    <row r="46" customFormat="false" ht="24" hidden="false" customHeight="true" outlineLevel="0" collapsed="false">
      <c r="A46" s="5"/>
      <c r="B46" s="5"/>
      <c r="C46" s="5"/>
      <c r="D46" s="5"/>
      <c r="E46" s="5"/>
      <c r="F46" s="5"/>
      <c r="G46" s="5"/>
      <c r="H46" s="7"/>
    </row>
    <row r="47" customFormat="false" ht="24" hidden="false" customHeight="true" outlineLevel="0" collapsed="false">
      <c r="A47" s="5"/>
      <c r="B47" s="5"/>
      <c r="C47" s="5"/>
      <c r="D47" s="5"/>
      <c r="E47" s="5"/>
      <c r="F47" s="5"/>
      <c r="G47" s="5"/>
      <c r="H47" s="7"/>
    </row>
    <row r="48" customFormat="false" ht="24" hidden="false" customHeight="true" outlineLevel="0" collapsed="false">
      <c r="A48" s="5"/>
      <c r="B48" s="5"/>
      <c r="C48" s="5"/>
      <c r="D48" s="5"/>
      <c r="E48" s="5"/>
      <c r="F48" s="5"/>
      <c r="G48" s="5"/>
      <c r="H48" s="7"/>
    </row>
    <row r="49" customFormat="false" ht="24" hidden="false" customHeight="true" outlineLevel="0" collapsed="false">
      <c r="A49" s="5"/>
      <c r="B49" s="5"/>
      <c r="C49" s="5"/>
      <c r="D49" s="5"/>
      <c r="E49" s="5"/>
      <c r="F49" s="5"/>
      <c r="G49" s="5"/>
      <c r="H49" s="7"/>
    </row>
    <row r="50" customFormat="false" ht="24" hidden="false" customHeight="true" outlineLevel="0" collapsed="false">
      <c r="A50" s="5"/>
      <c r="B50" s="5"/>
      <c r="C50" s="5"/>
      <c r="D50" s="5"/>
      <c r="E50" s="5"/>
      <c r="F50" s="5"/>
      <c r="G50" s="5"/>
      <c r="H50" s="7"/>
    </row>
    <row r="51" customFormat="false" ht="24" hidden="false" customHeight="true" outlineLevel="0" collapsed="false">
      <c r="A51" s="5"/>
      <c r="B51" s="5"/>
      <c r="C51" s="5"/>
      <c r="D51" s="5"/>
      <c r="E51" s="5"/>
      <c r="F51" s="5"/>
      <c r="G51" s="5"/>
      <c r="H51" s="7"/>
    </row>
    <row r="52" customFormat="false" ht="24" hidden="false" customHeight="true" outlineLevel="0" collapsed="false">
      <c r="A52" s="5"/>
      <c r="B52" s="5"/>
      <c r="C52" s="5"/>
      <c r="D52" s="5"/>
      <c r="E52" s="5"/>
      <c r="F52" s="5"/>
      <c r="G52" s="5"/>
      <c r="H52" s="7"/>
    </row>
    <row r="53" customFormat="false" ht="24" hidden="false" customHeight="true" outlineLevel="0" collapsed="false">
      <c r="A53" s="5"/>
      <c r="B53" s="5"/>
      <c r="C53" s="5"/>
      <c r="D53" s="5"/>
      <c r="E53" s="5"/>
      <c r="F53" s="5"/>
      <c r="G53" s="5"/>
      <c r="H53" s="7"/>
    </row>
    <row r="54" customFormat="false" ht="24" hidden="false" customHeight="true" outlineLevel="0" collapsed="false">
      <c r="A54" s="5"/>
      <c r="B54" s="5"/>
      <c r="C54" s="5"/>
      <c r="D54" s="5"/>
      <c r="E54" s="5"/>
      <c r="F54" s="5"/>
      <c r="G54" s="5"/>
      <c r="H54" s="7"/>
    </row>
    <row r="55" customFormat="false" ht="24" hidden="false" customHeight="true" outlineLevel="0" collapsed="false">
      <c r="A55" s="5"/>
      <c r="B55" s="5"/>
      <c r="C55" s="5"/>
      <c r="D55" s="5"/>
      <c r="E55" s="5"/>
      <c r="F55" s="5"/>
      <c r="G55" s="5"/>
      <c r="H55" s="7"/>
    </row>
    <row r="56" customFormat="false" ht="24" hidden="false" customHeight="true" outlineLevel="0" collapsed="false">
      <c r="A56" s="5"/>
      <c r="B56" s="5"/>
      <c r="C56" s="5"/>
      <c r="D56" s="5"/>
      <c r="E56" s="5"/>
      <c r="F56" s="5"/>
      <c r="G56" s="5"/>
      <c r="H56" s="7"/>
    </row>
    <row r="57" customFormat="false" ht="24" hidden="false" customHeight="true" outlineLevel="0" collapsed="false">
      <c r="A57" s="5"/>
      <c r="B57" s="5"/>
      <c r="C57" s="5"/>
      <c r="D57" s="5"/>
      <c r="E57" s="5"/>
      <c r="F57" s="5"/>
      <c r="G57" s="5"/>
      <c r="H57" s="7"/>
    </row>
    <row r="58" customFormat="false" ht="24" hidden="false" customHeight="true" outlineLevel="0" collapsed="false">
      <c r="A58" s="5"/>
      <c r="B58" s="5"/>
      <c r="C58" s="5"/>
      <c r="D58" s="5"/>
      <c r="E58" s="5"/>
      <c r="F58" s="5"/>
      <c r="G58" s="5"/>
      <c r="H58" s="7"/>
    </row>
    <row r="59" customFormat="false" ht="24" hidden="false" customHeight="true" outlineLevel="0" collapsed="false">
      <c r="A59" s="5"/>
      <c r="B59" s="5"/>
      <c r="C59" s="5"/>
      <c r="D59" s="5"/>
      <c r="E59" s="5"/>
      <c r="F59" s="5"/>
      <c r="G59" s="5"/>
      <c r="H59" s="7"/>
    </row>
    <row r="60" customFormat="false" ht="24" hidden="false" customHeight="true" outlineLevel="0" collapsed="false">
      <c r="A60" s="5"/>
      <c r="B60" s="5"/>
      <c r="C60" s="5"/>
      <c r="D60" s="5"/>
      <c r="E60" s="5"/>
      <c r="F60" s="5"/>
      <c r="G60" s="5"/>
      <c r="H60" s="7"/>
    </row>
    <row r="61" customFormat="false" ht="24" hidden="false" customHeight="true" outlineLevel="0" collapsed="false">
      <c r="A61" s="5"/>
      <c r="B61" s="5"/>
      <c r="C61" s="5"/>
      <c r="D61" s="5"/>
      <c r="E61" s="5"/>
      <c r="F61" s="5"/>
      <c r="G61" s="5"/>
      <c r="H61" s="7"/>
    </row>
    <row r="62" customFormat="false" ht="24" hidden="false" customHeight="true" outlineLevel="0" collapsed="false">
      <c r="A62" s="5"/>
      <c r="B62" s="5"/>
      <c r="C62" s="5"/>
      <c r="D62" s="5"/>
      <c r="E62" s="5"/>
      <c r="F62" s="5"/>
      <c r="G62" s="5"/>
      <c r="H62" s="7"/>
    </row>
    <row r="63" customFormat="false" ht="24" hidden="false" customHeight="true" outlineLevel="0" collapsed="false">
      <c r="A63" s="5"/>
      <c r="B63" s="5"/>
      <c r="C63" s="5"/>
      <c r="D63" s="5"/>
      <c r="E63" s="5"/>
      <c r="F63" s="5"/>
      <c r="G63" s="5"/>
      <c r="H63" s="7"/>
    </row>
    <row r="64" customFormat="false" ht="24" hidden="false" customHeight="true" outlineLevel="0" collapsed="false">
      <c r="A64" s="5"/>
      <c r="B64" s="5"/>
      <c r="C64" s="5"/>
      <c r="D64" s="5"/>
      <c r="E64" s="5"/>
      <c r="F64" s="5"/>
      <c r="G64" s="5"/>
      <c r="H64" s="7"/>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3" min="2" style="0" width="40"/>
    <col collapsed="false" customWidth="true" hidden="false" outlineLevel="0" max="5" min="4" style="0" width="30"/>
    <col collapsed="false" customWidth="true" hidden="false" outlineLevel="0" max="6" min="6" style="0" width="16"/>
    <col collapsed="false" customWidth="true" hidden="false" outlineLevel="0" max="7" min="7" style="0" width="36"/>
    <col collapsed="false" customWidth="true" hidden="false" outlineLevel="0" max="8" min="8" style="0" width="16"/>
  </cols>
  <sheetData>
    <row r="1" customFormat="false" ht="19.5" hidden="false" customHeight="true" outlineLevel="0" collapsed="false">
      <c r="A1" s="1" t="s">
        <v>666</v>
      </c>
    </row>
    <row r="2" customFormat="false" ht="15" hidden="false" customHeight="false" outlineLevel="0" collapsed="false">
      <c r="A2" s="2" t="s">
        <v>667</v>
      </c>
    </row>
    <row r="4" customFormat="false" ht="39.75" hidden="false" customHeight="true" outlineLevel="0" collapsed="false">
      <c r="A4" s="8" t="s">
        <v>668</v>
      </c>
      <c r="B4" s="13" t="s">
        <v>669</v>
      </c>
      <c r="C4" s="13" t="s">
        <v>670</v>
      </c>
      <c r="D4" s="13" t="s">
        <v>671</v>
      </c>
      <c r="E4" s="13" t="s">
        <v>672</v>
      </c>
      <c r="F4" s="13" t="s">
        <v>673</v>
      </c>
      <c r="G4" s="17" t="s">
        <v>674</v>
      </c>
      <c r="H4" s="17" t="s">
        <v>668</v>
      </c>
    </row>
    <row r="5" customFormat="false" ht="60" hidden="false" customHeight="true" outlineLevel="0" collapsed="false">
      <c r="A5" s="10" t="s">
        <v>24</v>
      </c>
      <c r="B5" s="5" t="s">
        <v>675</v>
      </c>
      <c r="C5" s="5"/>
      <c r="D5" s="5"/>
      <c r="E5" s="5"/>
      <c r="F5" s="5"/>
      <c r="G5" s="7"/>
      <c r="H5" s="23"/>
    </row>
    <row r="6" customFormat="false" ht="60" hidden="false" customHeight="true" outlineLevel="0" collapsed="false">
      <c r="A6" s="10" t="s">
        <v>676</v>
      </c>
      <c r="B6" s="5" t="s">
        <v>677</v>
      </c>
      <c r="C6" s="5"/>
      <c r="D6" s="5"/>
      <c r="E6" s="5"/>
      <c r="F6" s="5"/>
      <c r="G6" s="7"/>
      <c r="H6" s="23"/>
    </row>
    <row r="7" customFormat="false" ht="60" hidden="false" customHeight="true" outlineLevel="0" collapsed="false">
      <c r="A7" s="10" t="s">
        <v>678</v>
      </c>
      <c r="B7" s="5" t="s">
        <v>679</v>
      </c>
      <c r="C7" s="5"/>
      <c r="D7" s="5"/>
      <c r="E7" s="5"/>
      <c r="F7" s="5"/>
      <c r="G7" s="7"/>
      <c r="H7" s="23"/>
    </row>
    <row r="8" customFormat="false" ht="60" hidden="false" customHeight="true" outlineLevel="0" collapsed="false">
      <c r="A8" s="10" t="s">
        <v>680</v>
      </c>
      <c r="B8" s="5" t="s">
        <v>681</v>
      </c>
      <c r="C8" s="5"/>
      <c r="D8" s="5"/>
      <c r="E8" s="5"/>
      <c r="F8" s="5"/>
      <c r="G8" s="7"/>
      <c r="H8" s="23"/>
    </row>
    <row r="9" customFormat="false" ht="60" hidden="false" customHeight="true" outlineLevel="0" collapsed="false">
      <c r="A9" s="10" t="s">
        <v>682</v>
      </c>
      <c r="B9" s="5" t="s">
        <v>683</v>
      </c>
      <c r="C9" s="5"/>
      <c r="D9" s="5"/>
      <c r="E9" s="5"/>
      <c r="F9" s="5"/>
      <c r="G9" s="7"/>
      <c r="H9" s="23"/>
    </row>
    <row r="10" customFormat="false" ht="60" hidden="false" customHeight="true" outlineLevel="0" collapsed="false">
      <c r="A10" s="10" t="s">
        <v>684</v>
      </c>
      <c r="B10" s="5" t="s">
        <v>685</v>
      </c>
      <c r="C10" s="5"/>
      <c r="D10" s="5"/>
      <c r="E10" s="5"/>
      <c r="F10" s="5"/>
      <c r="G10" s="7"/>
      <c r="H10" s="23"/>
    </row>
    <row r="12" customFormat="false" ht="25.5" hidden="false" customHeight="true" outlineLevel="0" collapsed="false">
      <c r="A12" s="10" t="s">
        <v>686</v>
      </c>
      <c r="B12" s="11" t="str">
        <f aca="false">COUNTIF(H5:H10,"Met")&amp;" of 6"</f>
        <v>0 of 6</v>
      </c>
    </row>
    <row r="14" customFormat="false" ht="15" hidden="false" customHeight="false" outlineLevel="0" collapsed="false">
      <c r="A14" s="16" t="s">
        <v>687</v>
      </c>
    </row>
  </sheetData>
  <dataValidations count="2">
    <dataValidation allowBlank="true" errorStyle="stop" operator="between" showDropDown="false" showErrorMessage="false" showInputMessage="false" sqref="F5:F10" type="list">
      <formula1>"On track,Behind,Done"</formula1>
      <formula2>0</formula2>
    </dataValidation>
    <dataValidation allowBlank="true" errorStyle="stop" operator="between" showDropDown="false" showErrorMessage="false" showInputMessage="false" sqref="H5:H10" type="list">
      <formula1>"Met,Partly met,Not met"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9"/>
    <col collapsed="false" customWidth="true" hidden="false" outlineLevel="0" max="4" min="4" style="0" width="58"/>
    <col collapsed="false" customWidth="true" hidden="false" outlineLevel="0" max="6" min="5" style="0" width="13"/>
    <col collapsed="false" customWidth="true" hidden="false" outlineLevel="0" max="7" min="7" style="0" width="12"/>
    <col collapsed="false" customWidth="true" hidden="false" outlineLevel="0" max="9" min="8" style="0" width="40"/>
  </cols>
  <sheetData>
    <row r="1" customFormat="false" ht="19.5" hidden="false" customHeight="true" outlineLevel="0" collapsed="false">
      <c r="A1" s="1" t="s">
        <v>688</v>
      </c>
    </row>
    <row r="2" customFormat="false" ht="15" hidden="false" customHeight="false" outlineLevel="0" collapsed="false">
      <c r="A2" s="2" t="s">
        <v>689</v>
      </c>
    </row>
    <row r="4" customFormat="false" ht="36" hidden="false" customHeight="true" outlineLevel="0" collapsed="false">
      <c r="A4" s="8" t="s">
        <v>593</v>
      </c>
      <c r="B4" s="8" t="s">
        <v>488</v>
      </c>
      <c r="C4" s="8" t="s">
        <v>690</v>
      </c>
      <c r="D4" s="8" t="s">
        <v>691</v>
      </c>
      <c r="E4" s="13" t="s">
        <v>692</v>
      </c>
      <c r="F4" s="17" t="s">
        <v>693</v>
      </c>
      <c r="G4" s="8" t="s">
        <v>694</v>
      </c>
      <c r="H4" s="13" t="s">
        <v>695</v>
      </c>
      <c r="I4" s="17" t="s">
        <v>696</v>
      </c>
    </row>
    <row r="5" customFormat="false" ht="57.75" hidden="false" customHeight="true" outlineLevel="0" collapsed="false">
      <c r="A5" s="20" t="s">
        <v>494</v>
      </c>
      <c r="B5" s="9" t="s">
        <v>495</v>
      </c>
      <c r="C5" s="11" t="n">
        <v>5</v>
      </c>
      <c r="D5" s="6" t="s">
        <v>697</v>
      </c>
      <c r="E5" s="25"/>
      <c r="F5" s="26"/>
      <c r="G5" s="27" t="str">
        <f aca="false">IF(AND(ISNUMBER(E5),ISNUMBER(F5)),E5-F5,"")</f>
        <v/>
      </c>
      <c r="H5" s="5"/>
      <c r="I5" s="7"/>
    </row>
    <row r="6" customFormat="false" ht="57.75" hidden="false" customHeight="true" outlineLevel="0" collapsed="false">
      <c r="A6" s="20" t="s">
        <v>499</v>
      </c>
      <c r="B6" s="9" t="s">
        <v>500</v>
      </c>
      <c r="C6" s="11" t="n">
        <v>15</v>
      </c>
      <c r="D6" s="6" t="s">
        <v>698</v>
      </c>
      <c r="E6" s="25"/>
      <c r="F6" s="26"/>
      <c r="G6" s="27" t="str">
        <f aca="false">IF(AND(ISNUMBER(E6),ISNUMBER(F6)),E6-F6,"")</f>
        <v/>
      </c>
      <c r="H6" s="5"/>
      <c r="I6" s="7"/>
    </row>
    <row r="7" customFormat="false" ht="57.75" hidden="false" customHeight="true" outlineLevel="0" collapsed="false">
      <c r="A7" s="20" t="s">
        <v>503</v>
      </c>
      <c r="B7" s="9" t="s">
        <v>699</v>
      </c>
      <c r="C7" s="11" t="n">
        <v>10</v>
      </c>
      <c r="D7" s="6" t="s">
        <v>700</v>
      </c>
      <c r="E7" s="25"/>
      <c r="F7" s="26"/>
      <c r="G7" s="27" t="str">
        <f aca="false">IF(AND(ISNUMBER(E7),ISNUMBER(F7)),E7-F7,"")</f>
        <v/>
      </c>
      <c r="H7" s="5"/>
      <c r="I7" s="7"/>
    </row>
    <row r="8" customFormat="false" ht="57.75" hidden="false" customHeight="true" outlineLevel="0" collapsed="false">
      <c r="A8" s="20" t="s">
        <v>508</v>
      </c>
      <c r="B8" s="9" t="s">
        <v>701</v>
      </c>
      <c r="C8" s="11" t="n">
        <v>10</v>
      </c>
      <c r="D8" s="6" t="s">
        <v>702</v>
      </c>
      <c r="E8" s="25"/>
      <c r="F8" s="26"/>
      <c r="G8" s="27" t="str">
        <f aca="false">IF(AND(ISNUMBER(E8),ISNUMBER(F8)),E8-F8,"")</f>
        <v/>
      </c>
      <c r="H8" s="5"/>
      <c r="I8" s="7"/>
    </row>
    <row r="9" customFormat="false" ht="57.75" hidden="false" customHeight="true" outlineLevel="0" collapsed="false">
      <c r="A9" s="20" t="s">
        <v>513</v>
      </c>
      <c r="B9" s="9" t="s">
        <v>703</v>
      </c>
      <c r="C9" s="11" t="n">
        <v>15</v>
      </c>
      <c r="D9" s="6" t="s">
        <v>704</v>
      </c>
      <c r="E9" s="25"/>
      <c r="F9" s="26"/>
      <c r="G9" s="27" t="str">
        <f aca="false">IF(AND(ISNUMBER(E9),ISNUMBER(F9)),E9-F9,"")</f>
        <v/>
      </c>
      <c r="H9" s="5"/>
      <c r="I9" s="7"/>
    </row>
    <row r="10" customFormat="false" ht="57.75" hidden="false" customHeight="true" outlineLevel="0" collapsed="false">
      <c r="A10" s="20" t="s">
        <v>521</v>
      </c>
      <c r="B10" s="9" t="s">
        <v>705</v>
      </c>
      <c r="C10" s="11" t="n">
        <v>5</v>
      </c>
      <c r="D10" s="6" t="s">
        <v>706</v>
      </c>
      <c r="E10" s="25"/>
      <c r="F10" s="26"/>
      <c r="G10" s="27" t="str">
        <f aca="false">IF(AND(ISNUMBER(E10),ISNUMBER(F10)),E10-F10,"")</f>
        <v/>
      </c>
      <c r="H10" s="5"/>
      <c r="I10" s="7"/>
    </row>
    <row r="11" customFormat="false" ht="57.75" hidden="false" customHeight="true" outlineLevel="0" collapsed="false">
      <c r="A11" s="20" t="s">
        <v>525</v>
      </c>
      <c r="B11" s="9" t="s">
        <v>707</v>
      </c>
      <c r="C11" s="11" t="n">
        <v>10</v>
      </c>
      <c r="D11" s="6" t="s">
        <v>708</v>
      </c>
      <c r="E11" s="25"/>
      <c r="F11" s="26"/>
      <c r="G11" s="27" t="str">
        <f aca="false">IF(AND(ISNUMBER(E11),ISNUMBER(F11)),E11-F11,"")</f>
        <v/>
      </c>
      <c r="H11" s="5"/>
      <c r="I11" s="7"/>
    </row>
    <row r="12" customFormat="false" ht="57.75" hidden="false" customHeight="true" outlineLevel="0" collapsed="false">
      <c r="A12" s="20" t="s">
        <v>530</v>
      </c>
      <c r="B12" s="9" t="s">
        <v>709</v>
      </c>
      <c r="C12" s="11" t="n">
        <v>10</v>
      </c>
      <c r="D12" s="6" t="s">
        <v>710</v>
      </c>
      <c r="E12" s="25"/>
      <c r="F12" s="26"/>
      <c r="G12" s="27" t="str">
        <f aca="false">IF(AND(ISNUMBER(E12),ISNUMBER(F12)),E12-F12,"")</f>
        <v/>
      </c>
      <c r="H12" s="5"/>
      <c r="I12" s="7"/>
    </row>
    <row r="13" customFormat="false" ht="57.75" hidden="false" customHeight="true" outlineLevel="0" collapsed="false">
      <c r="A13" s="20" t="s">
        <v>538</v>
      </c>
      <c r="B13" s="9" t="s">
        <v>711</v>
      </c>
      <c r="C13" s="11" t="n">
        <v>10</v>
      </c>
      <c r="D13" s="6" t="s">
        <v>712</v>
      </c>
      <c r="E13" s="25"/>
      <c r="F13" s="26"/>
      <c r="G13" s="27" t="str">
        <f aca="false">IF(AND(ISNUMBER(E13),ISNUMBER(F13)),E13-F13,"")</f>
        <v/>
      </c>
      <c r="H13" s="5"/>
      <c r="I13" s="7"/>
    </row>
    <row r="14" customFormat="false" ht="57.75" hidden="false" customHeight="true" outlineLevel="0" collapsed="false">
      <c r="A14" s="20" t="s">
        <v>544</v>
      </c>
      <c r="B14" s="9" t="s">
        <v>713</v>
      </c>
      <c r="C14" s="11" t="n">
        <v>10</v>
      </c>
      <c r="D14" s="6" t="s">
        <v>714</v>
      </c>
      <c r="E14" s="25"/>
      <c r="F14" s="26"/>
      <c r="G14" s="27" t="str">
        <f aca="false">IF(AND(ISNUMBER(E14),ISNUMBER(F14)),E14-F14,"")</f>
        <v/>
      </c>
      <c r="H14" s="5"/>
      <c r="I14" s="7"/>
    </row>
    <row r="15" customFormat="false" ht="15" hidden="false" customHeight="false" outlineLevel="0" collapsed="false">
      <c r="A15" s="28"/>
      <c r="B15" s="10" t="s">
        <v>715</v>
      </c>
      <c r="C15" s="18" t="n">
        <f aca="false">SUM(C5:C14)</f>
        <v>100</v>
      </c>
      <c r="D15" s="28"/>
      <c r="E15" s="29" t="n">
        <f aca="false">SUM(E5:E14)</f>
        <v>0</v>
      </c>
      <c r="F15" s="29" t="n">
        <f aca="false">SUM(F5:F14)</f>
        <v>0</v>
      </c>
      <c r="G15" s="30" t="n">
        <f aca="false">E15-F15</f>
        <v>0</v>
      </c>
      <c r="H15" s="28"/>
      <c r="I15" s="28"/>
    </row>
    <row r="17" customFormat="false" ht="15" hidden="false" customHeight="false" outlineLevel="0" collapsed="false">
      <c r="A17" s="16" t="s">
        <v>716</v>
      </c>
    </row>
  </sheetData>
  <conditionalFormatting sqref="G5:G14">
    <cfRule type="expression" priority="2" aboveAverage="0" equalAverage="0" bottom="0" percent="0" rank="0" text="" dxfId="0">
      <formula>AND(ISNUMBER(G5),ABS(G5)&gt;0.2*$C5)</formula>
    </cfRule>
  </conditionalFormatting>
  <dataValidations count="1">
    <dataValidation allowBlank="true" error="Enter a number from 0 up to the task's Max (column C)." errorStyle="stop" errorTitle="Mark out of range" operator="between" showDropDown="false" showErrorMessage="true" showInputMessage="false" sqref="E5:F14" type="decimal">
      <formula1>0</formula1>
      <formula2>$C5</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8"/>
    <col collapsed="false" customWidth="true" hidden="false" outlineLevel="0" max="2" min="2" style="0" width="26"/>
    <col collapsed="false" customWidth="true" hidden="false" outlineLevel="0" max="3" min="3" style="0" width="16"/>
    <col collapsed="false" customWidth="true" hidden="false" outlineLevel="0" max="4" min="4" style="0" width="18"/>
    <col collapsed="false" customWidth="true" hidden="false" outlineLevel="0" max="7" min="5" style="0" width="22"/>
  </cols>
  <sheetData>
    <row r="1" customFormat="false" ht="19.5" hidden="false" customHeight="true" outlineLevel="0" collapsed="false">
      <c r="A1" s="1" t="s">
        <v>717</v>
      </c>
    </row>
    <row r="2" customFormat="false" ht="15" hidden="false" customHeight="false" outlineLevel="0" collapsed="false">
      <c r="A2" s="2" t="s">
        <v>718</v>
      </c>
    </row>
    <row r="4" customFormat="false" ht="15" hidden="false" customHeight="false" outlineLevel="0" collapsed="false">
      <c r="A4" s="10" t="s">
        <v>63</v>
      </c>
      <c r="B4" s="6" t="str">
        <f aca="false">IF(Team!B4="","",Team!B4)</f>
        <v>Group 69</v>
      </c>
      <c r="C4" s="6"/>
    </row>
    <row r="5" customFormat="false" ht="25.5" hidden="false" customHeight="true" outlineLevel="0" collapsed="false">
      <c r="A5" s="10" t="s">
        <v>719</v>
      </c>
      <c r="B5" s="31" t="n">
        <v>0.2</v>
      </c>
    </row>
    <row r="6" customFormat="false" ht="15" hidden="false" customHeight="false" outlineLevel="0" collapsed="false">
      <c r="A6" s="10" t="s">
        <v>720</v>
      </c>
      <c r="B6" s="7"/>
      <c r="C6" s="7"/>
    </row>
    <row r="8" customFormat="false" ht="15.75" hidden="false" customHeight="true" outlineLevel="0" collapsed="false">
      <c r="A8" s="3" t="s">
        <v>721</v>
      </c>
    </row>
    <row r="9" customFormat="false" ht="15" hidden="false" customHeight="false" outlineLevel="0" collapsed="false">
      <c r="A9" s="8" t="s">
        <v>722</v>
      </c>
      <c r="B9" s="13" t="s">
        <v>723</v>
      </c>
      <c r="C9" s="17" t="s">
        <v>568</v>
      </c>
      <c r="D9" s="8" t="s">
        <v>724</v>
      </c>
    </row>
    <row r="10" customFormat="false" ht="15" hidden="false" customHeight="false" outlineLevel="0" collapsed="false">
      <c r="A10" s="9" t="s">
        <v>715</v>
      </c>
      <c r="B10" s="32" t="n">
        <f aca="false">Marking!E15</f>
        <v>0</v>
      </c>
      <c r="C10" s="32" t="n">
        <f aca="false">Marking!F15</f>
        <v>0</v>
      </c>
      <c r="D10" s="27" t="n">
        <f aca="false">B10-C10</f>
        <v>0</v>
      </c>
    </row>
    <row r="11" customFormat="false" ht="15" hidden="false" customHeight="false" outlineLevel="0" collapsed="false">
      <c r="A11" s="9" t="s">
        <v>725</v>
      </c>
      <c r="B11" s="32" t="n">
        <f aca="false">B10*$B$5</f>
        <v>0</v>
      </c>
      <c r="C11" s="32" t="n">
        <f aca="false">C10*$B$5</f>
        <v>0</v>
      </c>
      <c r="D11" s="27" t="n">
        <f aca="false">B11-C11</f>
        <v>0</v>
      </c>
    </row>
    <row r="12" customFormat="false" ht="31.5" hidden="false" customHeight="true" outlineLevel="0" collapsed="false">
      <c r="A12" s="9" t="s">
        <v>726</v>
      </c>
      <c r="B12" s="11"/>
      <c r="C12" s="23"/>
    </row>
    <row r="14" customFormat="false" ht="15.75" hidden="false" customHeight="true" outlineLevel="0" collapsed="false">
      <c r="A14" s="3" t="s">
        <v>727</v>
      </c>
    </row>
    <row r="15" customFormat="false" ht="51.75" hidden="false" customHeight="true" outlineLevel="0" collapsed="false">
      <c r="A15" s="8" t="s">
        <v>70</v>
      </c>
      <c r="B15" s="8" t="s">
        <v>72</v>
      </c>
      <c r="C15" s="8" t="s">
        <v>74</v>
      </c>
      <c r="D15" s="17" t="s">
        <v>728</v>
      </c>
      <c r="E15" s="8" t="s">
        <v>729</v>
      </c>
      <c r="F15" s="8" t="s">
        <v>730</v>
      </c>
    </row>
    <row r="16" customFormat="false" ht="15" hidden="false" customHeight="false" outlineLevel="0" collapsed="false">
      <c r="A16" s="10" t="str">
        <f aca="false">IF(Team!B11="","",Team!B11)</f>
        <v>Trần Đỗ Quốc Anh</v>
      </c>
      <c r="B16" s="11" t="str">
        <f aca="false">IF(Team!C11="","",Team!C11)</f>
        <v>524H0041</v>
      </c>
      <c r="C16" s="21" t="n">
        <f aca="false">IF(Team!C11="","",Team!E11)</f>
        <v>0.3</v>
      </c>
      <c r="D16" s="33"/>
      <c r="E16" s="34" t="n">
        <f aca="false">IF($B16="","",ROUND($C$10*IF($D16="",1,$D16),2))</f>
        <v>0</v>
      </c>
      <c r="F16" s="35" t="n">
        <f aca="false">IF($B16="","",ROUND(E16*$B$5,2))</f>
        <v>0</v>
      </c>
    </row>
    <row r="17" customFormat="false" ht="15" hidden="false" customHeight="false" outlineLevel="0" collapsed="false">
      <c r="A17" s="10" t="str">
        <f aca="false">IF(Team!B12="","",Team!B12)</f>
        <v>Nguyễn Gia Huy</v>
      </c>
      <c r="B17" s="11" t="str">
        <f aca="false">IF(Team!C12="","",Team!C12)</f>
        <v>524H0158</v>
      </c>
      <c r="C17" s="21" t="n">
        <f aca="false">IF(Team!C12="","",Team!E12)</f>
        <v>0.4</v>
      </c>
      <c r="D17" s="33"/>
      <c r="E17" s="34" t="n">
        <f aca="false">IF($B17="","",ROUND($C$10*IF($D17="",1,$D17),2))</f>
        <v>0</v>
      </c>
      <c r="F17" s="35" t="n">
        <f aca="false">IF($B17="","",ROUND(E17*$B$5,2))</f>
        <v>0</v>
      </c>
    </row>
    <row r="18" customFormat="false" ht="15" hidden="false" customHeight="false" outlineLevel="0" collapsed="false">
      <c r="A18" s="10" t="str">
        <f aca="false">IF(Team!B13="","",Team!B13)</f>
        <v>Lê Anh Tuân</v>
      </c>
      <c r="B18" s="11" t="str">
        <f aca="false">IF(Team!C13="","",Team!C13)</f>
        <v>524H0074</v>
      </c>
      <c r="C18" s="21" t="n">
        <f aca="false">IF(Team!C13="","",Team!E13)</f>
        <v>0.3</v>
      </c>
      <c r="D18" s="33"/>
      <c r="E18" s="34" t="n">
        <f aca="false">IF($B18="","",ROUND($C$10*IF($D18="",1,$D18),2))</f>
        <v>0</v>
      </c>
      <c r="F18" s="35" t="n">
        <f aca="false">IF($B18="","",ROUND(E18*$B$5,2))</f>
        <v>0</v>
      </c>
    </row>
    <row r="19" customFormat="false" ht="15" hidden="false" customHeight="false" outlineLevel="0" collapsed="false">
      <c r="A19" s="10" t="str">
        <f aca="false">IF(Team!B14="","",Team!B14)</f>
        <v/>
      </c>
      <c r="B19" s="11" t="str">
        <f aca="false">IF(Team!C14="","",Team!C14)</f>
        <v/>
      </c>
      <c r="C19" s="21" t="str">
        <f aca="false">IF(Team!C14="","",Team!E14)</f>
        <v/>
      </c>
      <c r="D19" s="33"/>
      <c r="E19" s="34" t="str">
        <f aca="false">IF($B19="","",ROUND($C$10*IF($D19="",1,$D19),2))</f>
        <v/>
      </c>
      <c r="F19" s="35" t="str">
        <f aca="false">IF($B19="","",ROUND(E19*$B$5,2))</f>
        <v/>
      </c>
    </row>
    <row r="20" customFormat="false" ht="15" hidden="false" customHeight="false" outlineLevel="0" collapsed="false">
      <c r="A20" s="10" t="str">
        <f aca="false">IF(Team!B15="","",Team!B15)</f>
        <v/>
      </c>
      <c r="B20" s="11" t="str">
        <f aca="false">IF(Team!C15="","",Team!C15)</f>
        <v/>
      </c>
      <c r="C20" s="21" t="str">
        <f aca="false">IF(Team!C15="","",Team!E15)</f>
        <v/>
      </c>
      <c r="D20" s="33"/>
      <c r="E20" s="34" t="str">
        <f aca="false">IF($B20="","",ROUND($C$10*IF($D20="",1,$D20),2))</f>
        <v/>
      </c>
      <c r="F20" s="35" t="str">
        <f aca="false">IF($B20="","",ROUND(E20*$B$5,2))</f>
        <v/>
      </c>
    </row>
    <row r="22" customFormat="false" ht="15" hidden="false" customHeight="false" outlineLevel="0" collapsed="false">
      <c r="A22" s="16" t="s">
        <v>731</v>
      </c>
    </row>
    <row r="24" customFormat="false" ht="15.75" hidden="false" customHeight="true" outlineLevel="0" collapsed="false">
      <c r="A24" s="3" t="s">
        <v>732</v>
      </c>
    </row>
    <row r="25" customFormat="false" ht="60" hidden="false" customHeight="true" outlineLevel="0" collapsed="false">
      <c r="A25" s="10" t="s">
        <v>733</v>
      </c>
      <c r="B25" s="5"/>
      <c r="C25" s="5"/>
      <c r="D25" s="5"/>
      <c r="E25" s="5"/>
      <c r="F25" s="5"/>
      <c r="G25" s="5"/>
    </row>
    <row r="26" customFormat="false" ht="60" hidden="false" customHeight="true" outlineLevel="0" collapsed="false">
      <c r="A26" s="10" t="s">
        <v>674</v>
      </c>
      <c r="B26" s="7"/>
      <c r="C26" s="7"/>
      <c r="D26" s="7"/>
      <c r="E26" s="7"/>
      <c r="F26" s="7"/>
      <c r="G26" s="7"/>
    </row>
  </sheetData>
  <mergeCells count="3">
    <mergeCell ref="B4:C4"/>
    <mergeCell ref="B25:G25"/>
    <mergeCell ref="B26:G26"/>
  </mergeCells>
  <dataValidations count="2">
    <dataValidation allowBlank="true" error="Enter 0 or 1." errorStyle="stop" operator="between" showDropDown="false" showErrorMessage="true" showInputMessage="false" sqref="C12" type="whole">
      <formula1>0</formula1>
      <formula2>1</formula2>
    </dataValidation>
    <dataValidation allowBlank="true" error="Factor must be between 0.70 and 1.00." errorStyle="stop" operator="between" showDropDown="false" showErrorMessage="true" showInputMessage="false" sqref="D16:D20" type="decimal">
      <formula1>0.7</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2026-10-20T16:27:08Z</dcterms:created>
  <dc:creator>Ky-Trung Pham</dc:creator>
  <dc:description/>
  <dc:language>en-US</dc:language>
  <cp:lastModifiedBy>Trung Pham Thai Ky</cp:lastModifiedBy>
  <dcterms:modified xsi:type="dcterms:W3CDTF">2026-10-31T09:01:30Z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